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プロダクトバックログ" sheetId="1" state="visible" r:id="rId3"/>
    <sheet name="スプリント別ベロシティ" sheetId="2" state="visible" r:id="rId4"/>
  </sheets>
  <definedNames>
    <definedName function="false" hidden="false" localSheetId="0" name="_xlnm.Print_Titles" vbProcedure="false">プロダクトバックログ!$4:$4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<sst xmlns="http://schemas.openxmlformats.org/spreadsheetml/2006/main" count="144" uniqueCount="108">
  <si>
    <r>
      <rPr>
        <b val="true"/>
        <sz val="16"/>
        <color rgb="FF0B3B39"/>
        <rFont val="Arial"/>
        <family val="0"/>
        <charset val="1"/>
      </rPr>
      <t xml:space="preserve">BreatheEasy </t>
    </r>
    <r>
      <rPr>
        <b val="true"/>
        <sz val="16"/>
        <color rgb="FF0B3B39"/>
        <rFont val="Noto Sans CJK SC"/>
        <family val="2"/>
      </rPr>
      <t xml:space="preserve">｜ プロダクトバックログ</t>
    </r>
  </si>
  <si>
    <r>
      <rPr>
        <sz val="9"/>
        <color rgb="FF64748B"/>
        <rFont val="Noto Sans CJK SC"/>
        <family val="2"/>
      </rPr>
      <t xml:space="preserve">株式会社</t>
    </r>
    <r>
      <rPr>
        <sz val="9"/>
        <color rgb="FF64748B"/>
        <rFont val="Arial"/>
        <family val="0"/>
        <charset val="1"/>
      </rPr>
      <t xml:space="preserve">BreatheEasy</t>
    </r>
    <r>
      <rPr>
        <sz val="9"/>
        <color rgb="FF64748B"/>
        <rFont val="Noto Sans CJK SC"/>
        <family val="2"/>
      </rPr>
      <t xml:space="preserve">　プロダクトオーナー管理　※完了済み＝スプリント</t>
    </r>
    <r>
      <rPr>
        <sz val="9"/>
        <color rgb="FF64748B"/>
        <rFont val="Arial"/>
        <family val="0"/>
        <charset val="1"/>
      </rPr>
      <t xml:space="preserve">1</t>
    </r>
    <r>
      <rPr>
        <sz val="9"/>
        <color rgb="FF64748B"/>
        <rFont val="Noto Sans CJK SC"/>
        <family val="2"/>
      </rPr>
      <t xml:space="preserve">〜</t>
    </r>
    <r>
      <rPr>
        <sz val="9"/>
        <color rgb="FF64748B"/>
        <rFont val="Arial"/>
        <family val="0"/>
        <charset val="1"/>
      </rPr>
      <t xml:space="preserve">12</t>
    </r>
    <r>
      <rPr>
        <sz val="9"/>
        <color rgb="FF64748B"/>
        <rFont val="Noto Sans CJK SC"/>
        <family val="2"/>
      </rPr>
      <t xml:space="preserve">でリリース／将来＝</t>
    </r>
    <r>
      <rPr>
        <sz val="9"/>
        <color rgb="FF64748B"/>
        <rFont val="Arial"/>
        <family val="0"/>
        <charset val="1"/>
      </rPr>
      <t xml:space="preserve">PO</t>
    </r>
    <r>
      <rPr>
        <sz val="9"/>
        <color rgb="FF64748B"/>
        <rFont val="Noto Sans CJK SC"/>
        <family val="2"/>
      </rPr>
      <t xml:space="preserve">検討中（優先順位順）</t>
    </r>
  </si>
  <si>
    <t xml:space="preserve">ID</t>
  </si>
  <si>
    <t xml:space="preserve">ユーザーストーリー</t>
  </si>
  <si>
    <r>
      <rPr>
        <b val="true"/>
        <sz val="10"/>
        <color rgb="FFFFFFFF"/>
        <rFont val="Noto Sans CJK SC"/>
        <family val="2"/>
      </rPr>
      <t xml:space="preserve">見積り（</t>
    </r>
    <r>
      <rPr>
        <b val="true"/>
        <sz val="10"/>
        <color rgb="FFFFFFFF"/>
        <rFont val="Arial"/>
        <family val="0"/>
        <charset val="1"/>
      </rPr>
      <t xml:space="preserve">SP</t>
    </r>
    <r>
      <rPr>
        <b val="true"/>
        <sz val="10"/>
        <color rgb="FFFFFFFF"/>
        <rFont val="Noto Sans CJK SC"/>
        <family val="2"/>
      </rPr>
      <t xml:space="preserve">）</t>
    </r>
  </si>
  <si>
    <t xml:space="preserve">完了スプリント</t>
  </si>
  <si>
    <t xml:space="preserve">状態</t>
  </si>
  <si>
    <t xml:space="preserve">■ 完了済みアイテム（リリース済み）</t>
  </si>
  <si>
    <t xml:space="preserve">C01</t>
  </si>
  <si>
    <t xml:space="preserve">初心者として、アプリを開いてすぐに短いガイド付き呼吸セッションを始めたい。なぜなら、難しい設定なしにすぐ効果を体験したいから。</t>
  </si>
  <si>
    <t xml:space="preserve">完了</t>
  </si>
  <si>
    <t xml:space="preserve">C02</t>
  </si>
  <si>
    <r>
      <rPr>
        <sz val="9"/>
        <color rgb="FF1E293B"/>
        <rFont val="Noto Sans CJK SC"/>
        <family val="2"/>
      </rPr>
      <t xml:space="preserve">忙しい会社員として、</t>
    </r>
    <r>
      <rPr>
        <sz val="9"/>
        <color rgb="FF1E293B"/>
        <rFont val="Arial"/>
        <family val="0"/>
        <charset val="1"/>
      </rPr>
      <t xml:space="preserve">3</t>
    </r>
    <r>
      <rPr>
        <sz val="9"/>
        <color rgb="FF1E293B"/>
        <rFont val="Noto Sans CJK SC"/>
        <family val="2"/>
      </rPr>
      <t xml:space="preserve">分・</t>
    </r>
    <r>
      <rPr>
        <sz val="9"/>
        <color rgb="FF1E293B"/>
        <rFont val="Arial"/>
        <family val="0"/>
        <charset val="1"/>
      </rPr>
      <t xml:space="preserve">5</t>
    </r>
    <r>
      <rPr>
        <sz val="9"/>
        <color rgb="FF1E293B"/>
        <rFont val="Noto Sans CJK SC"/>
        <family val="2"/>
      </rPr>
      <t xml:space="preserve">分・</t>
    </r>
    <r>
      <rPr>
        <sz val="9"/>
        <color rgb="FF1E293B"/>
        <rFont val="Arial"/>
        <family val="0"/>
        <charset val="1"/>
      </rPr>
      <t xml:space="preserve">10</t>
    </r>
    <r>
      <rPr>
        <sz val="9"/>
        <color rgb="FF1E293B"/>
        <rFont val="Noto Sans CJK SC"/>
        <family val="2"/>
      </rPr>
      <t xml:space="preserve">分から時間を選んでセッションを始めたい。なぜなら、スキマ時間に合わせて続けたいから。</t>
    </r>
  </si>
  <si>
    <t xml:space="preserve">C03</t>
  </si>
  <si>
    <t xml:space="preserve">ユーザーとして、セッション中に画面のアニメーションと音声ガイドで呼吸のリズムを示してほしい。なぜなら、目と耳の両方でペースを掴みたいから。</t>
  </si>
  <si>
    <t xml:space="preserve">C04</t>
  </si>
  <si>
    <t xml:space="preserve">眠れない人として、就寝前に使える睡眠用サウンドと呼吸セッションが欲しい。なぜなら、リラックスして入眠したいから。</t>
  </si>
  <si>
    <t xml:space="preserve">C05</t>
  </si>
  <si>
    <r>
      <rPr>
        <sz val="9"/>
        <color rgb="FF1E293B"/>
        <rFont val="Noto Sans CJK SC"/>
        <family val="2"/>
      </rPr>
      <t xml:space="preserve">ユーザーとして、メールまたは</t>
    </r>
    <r>
      <rPr>
        <sz val="9"/>
        <color rgb="FF1E293B"/>
        <rFont val="Arial"/>
        <family val="0"/>
        <charset val="1"/>
      </rPr>
      <t xml:space="preserve">SNS</t>
    </r>
    <r>
      <rPr>
        <sz val="9"/>
        <color rgb="FF1E293B"/>
        <rFont val="Noto Sans CJK SC"/>
        <family val="2"/>
      </rPr>
      <t xml:space="preserve">でアカウントを作成してログインしたい。なぜなら、機種変更後もデータを引き継ぎたいから。</t>
    </r>
  </si>
  <si>
    <t xml:space="preserve">C06</t>
  </si>
  <si>
    <t xml:space="preserve">継続したいユーザーとして、毎日の実施状況をカレンダーと連続日数（ストリーク）で見たい。なぜなら、続けるモチベーションにしたいから。</t>
  </si>
  <si>
    <t xml:space="preserve">C07</t>
  </si>
  <si>
    <r>
      <rPr>
        <sz val="9"/>
        <color rgb="FF1E293B"/>
        <rFont val="Noto Sans CJK SC"/>
        <family val="2"/>
      </rPr>
      <t xml:space="preserve">ユーザーとして、セッション完了後に簡単な気分チェックイン（</t>
    </r>
    <r>
      <rPr>
        <sz val="9"/>
        <color rgb="FF1E293B"/>
        <rFont val="Arial"/>
        <family val="0"/>
        <charset val="1"/>
      </rPr>
      <t xml:space="preserve">5</t>
    </r>
    <r>
      <rPr>
        <sz val="9"/>
        <color rgb="FF1E293B"/>
        <rFont val="Noto Sans CJK SC"/>
        <family val="2"/>
      </rPr>
      <t xml:space="preserve">段階）を記録したい。なぜなら、自分の状態の変化を振り返りたいから。</t>
    </r>
  </si>
  <si>
    <t xml:space="preserve">C08</t>
  </si>
  <si>
    <t xml:space="preserve">プロダクトオーナーとして、利用データ（起動・完了・離脱）を分析基盤に送信したい。なぜなら、改善の意思決定をデータで行いたいから。</t>
  </si>
  <si>
    <t xml:space="preserve">C09</t>
  </si>
  <si>
    <t xml:space="preserve">ユーザーとして、目的別（ストレス緩和・集中・睡眠）にプログラムを選びたい。なぜなら、その時の悩みに合ったセッションをしたいから。</t>
  </si>
  <si>
    <t xml:space="preserve">C10</t>
  </si>
  <si>
    <t xml:space="preserve">ユーザーとして、毎日決まった時間にリマインダー通知を受け取りたい。なぜなら、習慣として忘れず続けたいから。</t>
  </si>
  <si>
    <t xml:space="preserve">C11</t>
  </si>
  <si>
    <r>
      <rPr>
        <sz val="9"/>
        <color rgb="FF1E293B"/>
        <rFont val="Noto Sans CJK SC"/>
        <family val="2"/>
      </rPr>
      <t xml:space="preserve">初心者として、最初の</t>
    </r>
    <r>
      <rPr>
        <sz val="9"/>
        <color rgb="FF1E293B"/>
        <rFont val="Arial"/>
        <family val="0"/>
        <charset val="1"/>
      </rPr>
      <t xml:space="preserve">7</t>
    </r>
    <r>
      <rPr>
        <sz val="9"/>
        <color rgb="FF1E293B"/>
        <rFont val="Noto Sans CJK SC"/>
        <family val="2"/>
      </rPr>
      <t xml:space="preserve">日間のオンボーディング・プログラムに沿って進めたい。なぜなら、何をすればいいか迷わず習慣化したいから。</t>
    </r>
  </si>
  <si>
    <t xml:space="preserve">C12</t>
  </si>
  <si>
    <t xml:space="preserve">ユーザーとして、新しい呼吸セッションが毎週追加されるようにしてほしい。なぜなら、飽きずに続けたいから。</t>
  </si>
  <si>
    <t xml:space="preserve">C13</t>
  </si>
  <si>
    <r>
      <rPr>
        <sz val="9"/>
        <color rgb="FF1E293B"/>
        <rFont val="Noto Sans CJK SC"/>
        <family val="2"/>
      </rPr>
      <t xml:space="preserve">データアナリストとして、</t>
    </r>
    <r>
      <rPr>
        <sz val="9"/>
        <color rgb="FF1E293B"/>
        <rFont val="Arial"/>
        <family val="0"/>
        <charset val="1"/>
      </rPr>
      <t xml:space="preserve">A/B</t>
    </r>
    <r>
      <rPr>
        <sz val="9"/>
        <color rgb="FF1E293B"/>
        <rFont val="Noto Sans CJK SC"/>
        <family val="2"/>
      </rPr>
      <t xml:space="preserve">テストの仕組みで訴求文やオンボーディングを比較したい。なぜなら、転換率と継続率を実データで改善したいから。</t>
    </r>
  </si>
  <si>
    <t xml:space="preserve">C14</t>
  </si>
  <si>
    <t xml:space="preserve">ユーザーとして、アプリの表示速度と安定性を改善してほしい。なぜなら、開いてすぐストレスなく使いたいから。</t>
  </si>
  <si>
    <t xml:space="preserve">C15</t>
  </si>
  <si>
    <t xml:space="preserve">プレミアムを検討するユーザーとして、無料と有料の違いを分かりやすく比較する画面を見たい。なぜなら、課金する価値があるか判断したいから。</t>
  </si>
  <si>
    <t xml:space="preserve">C16</t>
  </si>
  <si>
    <t xml:space="preserve">ユーザーとして、プレミアム限定の長尺プログラムと全ライブラリにアクセスしたい。なぜなら、もっと深く実践したいから。</t>
  </si>
  <si>
    <t xml:space="preserve">C17</t>
  </si>
  <si>
    <r>
      <rPr>
        <sz val="9"/>
        <color rgb="FF1E293B"/>
        <rFont val="Noto Sans CJK SC"/>
        <family val="2"/>
      </rPr>
      <t xml:space="preserve">ユーザーとして、</t>
    </r>
    <r>
      <rPr>
        <sz val="9"/>
        <color rgb="FF1E293B"/>
        <rFont val="Arial"/>
        <family val="0"/>
        <charset val="1"/>
      </rPr>
      <t xml:space="preserve">App Store / Google Play </t>
    </r>
    <r>
      <rPr>
        <sz val="9"/>
        <color rgb="FF1E293B"/>
        <rFont val="Noto Sans CJK SC"/>
        <family val="2"/>
      </rPr>
      <t xml:space="preserve">で月額プランに安全に課金したい。なぜなら、簡単・安心に有料登録したいから。</t>
    </r>
  </si>
  <si>
    <t xml:space="preserve">C18</t>
  </si>
  <si>
    <t xml:space="preserve">プロダクトオーナーとして、課金状態に応じてプレミアム機能を出し分けたい。なぜなら、有料会員に正しく価値提供し、無料会員には訴求したいから。</t>
  </si>
  <si>
    <t xml:space="preserve">C19</t>
  </si>
  <si>
    <r>
      <rPr>
        <sz val="9"/>
        <color rgb="FF1E293B"/>
        <rFont val="Noto Sans CJK SC"/>
        <family val="2"/>
      </rPr>
      <t xml:space="preserve">ユーザーとして、</t>
    </r>
    <r>
      <rPr>
        <sz val="9"/>
        <color rgb="FF1E293B"/>
        <rFont val="Arial"/>
        <family val="0"/>
        <charset val="1"/>
      </rPr>
      <t xml:space="preserve">7</t>
    </r>
    <r>
      <rPr>
        <sz val="9"/>
        <color rgb="FF1E293B"/>
        <rFont val="Noto Sans CJK SC"/>
        <family val="2"/>
      </rPr>
      <t xml:space="preserve">日間の無料トライアルでプレミアムを試したい。なぜなら、納得してから課金したいから。</t>
    </r>
  </si>
  <si>
    <t xml:space="preserve">C20</t>
  </si>
  <si>
    <t xml:space="preserve">プレミアムユーザーとして、詳細な進捗レポート（週次・月次）を見たい。なぜなら、続けた成果を実感したいから。</t>
  </si>
  <si>
    <t xml:space="preserve">C21</t>
  </si>
  <si>
    <t xml:space="preserve">ユーザーとして、アプリ内から解約・プラン変更を簡単に行いたい。なぜなら、不安なく始めたいから（透明性）。</t>
  </si>
  <si>
    <t xml:space="preserve">C22</t>
  </si>
  <si>
    <t xml:space="preserve">マーケティング担当として、友だち紹介キャンペーンの仕組みが欲しい。なぜなら、口コミで新規ユーザーを増やしたいから。</t>
  </si>
  <si>
    <t xml:space="preserve">完了ポイント合計</t>
  </si>
  <si>
    <t xml:space="preserve">■ 将来アイテム（プロダクトオーナー検討中・未着手）</t>
  </si>
  <si>
    <t xml:space="preserve">F01</t>
  </si>
  <si>
    <t xml:space="preserve">解約を検討しているユーザーとして、離脱しそうなタイミングでパーソナライズされたおすすめを受け取りたい。なぜなら、自分に合う体験に出会えれば続けたいから。</t>
  </si>
  <si>
    <t xml:space="preserve">未着手</t>
  </si>
  <si>
    <t xml:space="preserve">F02</t>
  </si>
  <si>
    <r>
      <rPr>
        <sz val="9"/>
        <color rgb="FF1E293B"/>
        <rFont val="Noto Sans CJK SC"/>
        <family val="2"/>
      </rPr>
      <t xml:space="preserve">プレミアムユーザーとして、</t>
    </r>
    <r>
      <rPr>
        <sz val="9"/>
        <color rgb="FF1E293B"/>
        <rFont val="Arial"/>
        <family val="0"/>
        <charset val="1"/>
      </rPr>
      <t xml:space="preserve">AI</t>
    </r>
    <r>
      <rPr>
        <sz val="9"/>
        <color rgb="FF1E293B"/>
        <rFont val="Noto Sans CJK SC"/>
        <family val="2"/>
      </rPr>
      <t xml:space="preserve">が私の記録と気分に合わせて毎日のプログラムを自動で組んでほしい。なぜなら、毎回自分で選ぶ負担なく続けたいから。</t>
    </r>
  </si>
  <si>
    <t xml:space="preserve">F03</t>
  </si>
  <si>
    <t xml:space="preserve">ユーザーとして、ダウンロード済みセッションをオフラインで再生したい。なぜなら、通勤中や電波の弱い場所でも使いたいから。</t>
  </si>
  <si>
    <t xml:space="preserve">F04</t>
  </si>
  <si>
    <t xml:space="preserve">価格に敏感なユーザーとして、割安な年額プランを選びたい。なぜなら、続ける前提でお得に使いたいから。</t>
  </si>
  <si>
    <t xml:space="preserve">F05</t>
  </si>
  <si>
    <r>
      <rPr>
        <sz val="9"/>
        <color rgb="FF1E293B"/>
        <rFont val="Noto Sans CJK SC"/>
        <family val="2"/>
      </rPr>
      <t xml:space="preserve">ユーザーとして、</t>
    </r>
    <r>
      <rPr>
        <sz val="9"/>
        <color rgb="FF1E293B"/>
        <rFont val="Arial"/>
        <family val="0"/>
        <charset val="1"/>
      </rPr>
      <t xml:space="preserve">Apple Watch / Wear OS </t>
    </r>
    <r>
      <rPr>
        <sz val="9"/>
        <color rgb="FF1E293B"/>
        <rFont val="Noto Sans CJK SC"/>
        <family val="2"/>
      </rPr>
      <t xml:space="preserve">で呼吸セッションを行いたい。なぜなら、スマホを出さずに手軽に実践したいから。</t>
    </r>
  </si>
  <si>
    <t xml:space="preserve">F06</t>
  </si>
  <si>
    <t xml:space="preserve">ユーザーとして、心拍数と連動して呼吸ペースを調整してほしい。なぜなら、その時の状態に最適なセッションにしたいから。</t>
  </si>
  <si>
    <t xml:space="preserve">F07</t>
  </si>
  <si>
    <t xml:space="preserve">継続したいユーザーとして、友だちやコミュニティと一緒にチャレンジに参加したい。なぜなら、仲間がいると続けやすいから。</t>
  </si>
  <si>
    <t xml:space="preserve">F08</t>
  </si>
  <si>
    <t xml:space="preserve">ユーザーとして、セッションの音声を好みのナレーター・講師の声で選びたい。なぜなら、心地よい声だと続けたいから。</t>
  </si>
  <si>
    <t xml:space="preserve">F09</t>
  </si>
  <si>
    <t xml:space="preserve">ユーザーとして、日本語以外の言語（英語）でもアプリを使いたい。なぜなら、家族や外国人の同僚にも勧めたいから。</t>
  </si>
  <si>
    <t xml:space="preserve">F10</t>
  </si>
  <si>
    <r>
      <rPr>
        <sz val="9"/>
        <color rgb="FF1E293B"/>
        <rFont val="Noto Sans CJK SC"/>
        <family val="2"/>
      </rPr>
      <t xml:space="preserve">プレミアムユーザーとして、解約後も</t>
    </r>
    <r>
      <rPr>
        <sz val="9"/>
        <color rgb="FF1E293B"/>
        <rFont val="Arial"/>
        <family val="0"/>
        <charset val="1"/>
      </rPr>
      <t xml:space="preserve">30</t>
    </r>
    <r>
      <rPr>
        <sz val="9"/>
        <color rgb="FF1E293B"/>
        <rFont val="Noto Sans CJK SC"/>
        <family val="2"/>
      </rPr>
      <t xml:space="preserve">日間はデータと設定を保持してほしい。なぜなら、再開したときにゼロからにならないから。</t>
    </r>
  </si>
  <si>
    <t xml:space="preserve">F11</t>
  </si>
  <si>
    <t xml:space="preserve">ユーザーとして、毎朝パーソナライズされたダイジェスト通知を受け取りたい。なぜなら、その日の自分に必要なセッションにすぐ辿り着きたいから。</t>
  </si>
  <si>
    <t xml:space="preserve">F12</t>
  </si>
  <si>
    <t xml:space="preserve">企業の人事担当として、従業員向けにまとめて契約・管理できる法人プランが欲しい。なぜなら、福利厚生としてメンタルヘルスを支援したいから。</t>
  </si>
  <si>
    <t xml:space="preserve">F13</t>
  </si>
  <si>
    <r>
      <rPr>
        <sz val="9"/>
        <color rgb="FF1E293B"/>
        <rFont val="Noto Sans CJK SC"/>
        <family val="2"/>
      </rPr>
      <t xml:space="preserve">ユーザーとして、実践した記録をヘルスケアアプリ（</t>
    </r>
    <r>
      <rPr>
        <sz val="9"/>
        <color rgb="FF1E293B"/>
        <rFont val="Arial"/>
        <family val="0"/>
        <charset val="1"/>
      </rPr>
      <t xml:space="preserve">Apple Health / Google Fit</t>
    </r>
    <r>
      <rPr>
        <sz val="9"/>
        <color rgb="FF1E293B"/>
        <rFont val="Noto Sans CJK SC"/>
        <family val="2"/>
      </rPr>
      <t xml:space="preserve">）と連携したい。なぜなら、健康データを一元管理したいから。</t>
    </r>
  </si>
  <si>
    <t xml:space="preserve">F14</t>
  </si>
  <si>
    <t xml:space="preserve">プロダクトオーナーとして、解約理由を選択式で収集したい。なぜなら、離脱の原因をデータで把握して手を打ちたいから。</t>
  </si>
  <si>
    <t xml:space="preserve">F15</t>
  </si>
  <si>
    <r>
      <rPr>
        <sz val="9"/>
        <color rgb="FF1E293B"/>
        <rFont val="Noto Sans CJK SC"/>
        <family val="2"/>
      </rPr>
      <t xml:space="preserve">ユーザーとして、短い「</t>
    </r>
    <r>
      <rPr>
        <sz val="9"/>
        <color rgb="FF1E293B"/>
        <rFont val="Arial"/>
        <family val="0"/>
        <charset val="1"/>
      </rPr>
      <t xml:space="preserve">1</t>
    </r>
    <r>
      <rPr>
        <sz val="9"/>
        <color rgb="FF1E293B"/>
        <rFont val="Noto Sans CJK SC"/>
        <family val="2"/>
      </rPr>
      <t xml:space="preserve">分リセット」セッションをホーム画面ウィジェットから即実行したい。なぜなら、思い立った瞬間に使いたいから。</t>
    </r>
  </si>
  <si>
    <t xml:space="preserve">F16</t>
  </si>
  <si>
    <t xml:space="preserve">プレミアムを検討するユーザーとして、無料トライアル中に効果を可視化するレポートを見たい。なぜなら、続ける価値を実感してから課金したいから。</t>
  </si>
  <si>
    <t xml:space="preserve">将来アイテム ポイント合計（参考）</t>
  </si>
  <si>
    <t xml:space="preserve">スプリント別ベロシティ（完了ストーリーポイント）</t>
  </si>
  <si>
    <t xml:space="preserve">※ プロダクトバックログの『完了スプリント』列から自動集計</t>
  </si>
  <si>
    <t xml:space="preserve">スプリント</t>
  </si>
  <si>
    <r>
      <rPr>
        <b val="true"/>
        <sz val="10"/>
        <color rgb="FFFFFFFF"/>
        <rFont val="Noto Sans CJK SC"/>
        <family val="2"/>
      </rPr>
      <t xml:space="preserve">完了ポイント（</t>
    </r>
    <r>
      <rPr>
        <b val="true"/>
        <sz val="10"/>
        <color rgb="FFFFFFFF"/>
        <rFont val="Arial"/>
        <family val="0"/>
        <charset val="1"/>
      </rPr>
      <t xml:space="preserve">SP</t>
    </r>
    <r>
      <rPr>
        <b val="true"/>
        <sz val="10"/>
        <color rgb="FFFFFFFF"/>
        <rFont val="Noto Sans CJK SC"/>
        <family val="2"/>
      </rPr>
      <t xml:space="preserve">）</t>
    </r>
  </si>
  <si>
    <t xml:space="preserve">完了アイテム数</t>
  </si>
  <si>
    <t xml:space="preserve">Sprint 1</t>
  </si>
  <si>
    <t xml:space="preserve">Sprint 2</t>
  </si>
  <si>
    <t xml:space="preserve">Sprint 3</t>
  </si>
  <si>
    <t xml:space="preserve">Sprint 4</t>
  </si>
  <si>
    <t xml:space="preserve">Sprint 5</t>
  </si>
  <si>
    <t xml:space="preserve">Sprint 6</t>
  </si>
  <si>
    <t xml:space="preserve">Sprint 7</t>
  </si>
  <si>
    <t xml:space="preserve">Sprint 8</t>
  </si>
  <si>
    <t xml:space="preserve">Sprint 9</t>
  </si>
  <si>
    <t xml:space="preserve">Sprint 10</t>
  </si>
  <si>
    <t xml:space="preserve">Sprint 11</t>
  </si>
  <si>
    <t xml:space="preserve">Sprint 12</t>
  </si>
  <si>
    <t xml:space="preserve">合計</t>
  </si>
  <si>
    <t xml:space="preserve">平均ベロシティ</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</si>
</sst>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0B3B39"/>
      <name val="Arial"/>
      <family val="0"/>
      <charset val="1"/>
    </font>
    <font>
      <b val="true"/>
      <sz val="16"/>
      <color rgb="FF0B3B39"/>
      <name val="Noto Sans CJK SC"/>
      <family val="2"/>
    </font>
    <font>
      <sz val="9"/>
      <color rgb="FF64748B"/>
      <name val="Noto Sans CJK SC"/>
      <family val="2"/>
    </font>
    <font>
      <sz val="9"/>
      <color rgb="FF64748B"/>
      <name val="Arial"/>
      <family val="0"/>
      <charset val="1"/>
    </font>
    <font>
      <b val="true"/>
      <sz val="10"/>
      <color rgb="FFFFFFFF"/>
      <name val="Arial"/>
      <family val="0"/>
      <charset val="1"/>
    </font>
    <font>
      <b val="true"/>
      <sz val="10"/>
      <color rgb="FFFFFFFF"/>
      <name val="Noto Sans CJK SC"/>
      <family val="2"/>
    </font>
    <font>
      <b val="true"/>
      <sz val="10"/>
      <color rgb="FF0F766E"/>
      <name val="Noto Sans CJK SC"/>
      <family val="2"/>
    </font>
    <font>
      <b val="true"/>
      <sz val="9"/>
      <color rgb="FF0B3B39"/>
      <name val="Arial"/>
      <family val="0"/>
      <charset val="1"/>
    </font>
    <font>
      <sz val="9"/>
      <color rgb="FF1E293B"/>
      <name val="Noto Sans CJK SC"/>
      <family val="2"/>
    </font>
    <font>
      <sz val="9"/>
      <color rgb="FF1E293B"/>
      <name val="Arial"/>
      <family val="0"/>
      <charset val="1"/>
    </font>
    <font>
      <b val="true"/>
      <sz val="9"/>
      <color rgb="FF0F766E"/>
      <name val="Noto Sans CJK SC"/>
      <family val="2"/>
    </font>
    <font>
      <b val="true"/>
      <sz val="9"/>
      <color rgb="FF0B3B39"/>
      <name val="Noto Sans CJK SC"/>
      <family val="2"/>
    </font>
    <font>
      <b val="true"/>
      <sz val="10"/>
      <color rgb="FF475569"/>
      <name val="Noto Sans CJK SC"/>
      <family val="2"/>
    </font>
    <font>
      <b val="true"/>
      <sz val="9"/>
      <color rgb="FF475569"/>
      <name val="Arial"/>
      <family val="0"/>
      <charset val="1"/>
    </font>
    <font>
      <b val="true"/>
      <sz val="9"/>
      <color rgb="FFB45309"/>
      <name val="Noto Sans CJK SC"/>
      <family val="2"/>
    </font>
    <font>
      <b val="true"/>
      <sz val="9"/>
      <color rgb="FF475569"/>
      <name val="Noto Sans CJK SC"/>
      <family val="2"/>
    </font>
    <font>
      <b val="true"/>
      <sz val="14"/>
      <color rgb="FF0B3B39"/>
      <name val="Noto Sans CJK SC"/>
      <family val="2"/>
    </font>
    <font>
      <sz val="10"/>
      <color rgb="FF1E293B"/>
      <name val="Arial"/>
      <family val="0"/>
      <charset val="1"/>
    </font>
    <font>
      <b val="true"/>
      <sz val="10"/>
      <color rgb="FF0B3B39"/>
      <name val="Noto Sans CJK SC"/>
      <family val="2"/>
    </font>
    <font>
      <b val="true"/>
      <sz val="10"/>
      <color rgb="FF0B3B39"/>
      <name val="Arial"/>
      <family val="0"/>
      <charset val="1"/>
    </font>
  </fonts>
  <fills count="6">
    <fill>
      <patternFill patternType="none"/>
    </fill>
    <fill>
      <patternFill patternType="gray125"/>
    </fill>
    <fill>
      <patternFill patternType="solid">
        <fgColor rgb="FF0F766E"/>
        <bgColor rgb="FF008080"/>
      </patternFill>
    </fill>
    <fill>
      <patternFill patternType="solid">
        <fgColor rgb="FFECFDF7"/>
        <bgColor rgb="FFF0FDFA"/>
      </patternFill>
    </fill>
    <fill>
      <patternFill patternType="solid">
        <fgColor rgb="FFF0FDFA"/>
        <bgColor rgb="FFECFDF7"/>
      </patternFill>
    </fill>
    <fill>
      <patternFill patternType="solid">
        <fgColor rgb="FFF1F5F9"/>
        <bgColor rgb="FFF0FDFA"/>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right"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right" vertical="bottom" textRotation="0" wrapText="false" indent="0" shrinkToFit="false"/>
      <protection locked="true" hidden="false"/>
    </xf>
    <xf numFmtId="165" fontId="17" fillId="5"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0FDFA"/>
      <rgbColor rgb="FFECFDF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B3B39"/>
      <rgbColor rgb="FF339966"/>
      <rgbColor rgb="FF003300"/>
      <rgbColor rgb="FF333300"/>
      <rgbColor rgb="FFB45309"/>
      <rgbColor rgb="FF993366"/>
      <rgbColor rgb="FF47556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12"/>
    <col collapsed="false" customWidth="true" hidden="false" outlineLevel="0" max="4" min="4" style="0" width="13"/>
    <col collapsed="false" customWidth="true" hidden="false" outlineLevel="0" max="5" min="5" style="0" width="9"/>
  </cols>
  <sheetData>
    <row r="1" customFormat="false" ht="23.85" hidden="false" customHeight="false" outlineLevel="0" collapsed="false">
      <c r="A1" s="1" t="s">
        <v>0</v>
      </c>
    </row>
    <row r="2" customFormat="false" ht="15" hidden="false" customHeight="false" outlineLevel="0" collapsed="false">
      <c r="A2" s="2" t="s">
        <v>1</v>
      </c>
    </row>
    <row r="4" customFormat="false" ht="29.85" hidden="false" customHeight="false" outlineLevel="0" collapsed="false">
      <c r="A4" s="3" t="s">
        <v>2</v>
      </c>
      <c r="B4" s="4" t="s">
        <v>3</v>
      </c>
      <c r="C4" s="4" t="s">
        <v>4</v>
      </c>
      <c r="D4" s="4" t="s">
        <v>5</v>
      </c>
      <c r="E4" s="4" t="s">
        <v>6</v>
      </c>
    </row>
    <row r="5" customFormat="false" ht="15" hidden="false" customHeight="false" outlineLevel="0" collapsed="false">
      <c r="A5" s="5" t="s">
        <v>7</v>
      </c>
      <c r="B5" s="5"/>
      <c r="C5" s="5"/>
      <c r="D5" s="5"/>
      <c r="E5" s="5"/>
    </row>
    <row r="6" customFormat="false" ht="26.85" hidden="false" customHeight="false" outlineLevel="0" collapsed="false">
      <c r="A6" s="6" t="s">
        <v>8</v>
      </c>
      <c r="B6" s="7" t="s">
        <v>9</v>
      </c>
      <c r="C6" s="8" t="n">
        <v>8</v>
      </c>
      <c r="D6" s="8" t="n">
        <v>1</v>
      </c>
      <c r="E6" s="9" t="s">
        <v>10</v>
      </c>
    </row>
    <row r="7" customFormat="false" ht="26.85" hidden="false" customHeight="false" outlineLevel="0" collapsed="false">
      <c r="A7" s="6" t="s">
        <v>11</v>
      </c>
      <c r="B7" s="7" t="s">
        <v>12</v>
      </c>
      <c r="C7" s="8" t="n">
        <v>5</v>
      </c>
      <c r="D7" s="8" t="n">
        <v>1</v>
      </c>
      <c r="E7" s="9" t="s">
        <v>10</v>
      </c>
    </row>
    <row r="8" customFormat="false" ht="26.85" hidden="false" customHeight="false" outlineLevel="0" collapsed="false">
      <c r="A8" s="6" t="s">
        <v>13</v>
      </c>
      <c r="B8" s="7" t="s">
        <v>14</v>
      </c>
      <c r="C8" s="8" t="n">
        <v>8</v>
      </c>
      <c r="D8" s="8" t="n">
        <v>2</v>
      </c>
      <c r="E8" s="9" t="s">
        <v>10</v>
      </c>
    </row>
    <row r="9" customFormat="false" ht="26.85" hidden="false" customHeight="false" outlineLevel="0" collapsed="false">
      <c r="A9" s="6" t="s">
        <v>15</v>
      </c>
      <c r="B9" s="7" t="s">
        <v>16</v>
      </c>
      <c r="C9" s="8" t="n">
        <v>5</v>
      </c>
      <c r="D9" s="8" t="n">
        <v>2</v>
      </c>
      <c r="E9" s="9" t="s">
        <v>10</v>
      </c>
    </row>
    <row r="10" customFormat="false" ht="26.85" hidden="false" customHeight="false" outlineLevel="0" collapsed="false">
      <c r="A10" s="6" t="s">
        <v>17</v>
      </c>
      <c r="B10" s="7" t="s">
        <v>18</v>
      </c>
      <c r="C10" s="8" t="n">
        <v>5</v>
      </c>
      <c r="D10" s="8" t="n">
        <v>3</v>
      </c>
      <c r="E10" s="9" t="s">
        <v>10</v>
      </c>
    </row>
    <row r="11" customFormat="false" ht="26.85" hidden="false" customHeight="false" outlineLevel="0" collapsed="false">
      <c r="A11" s="6" t="s">
        <v>19</v>
      </c>
      <c r="B11" s="7" t="s">
        <v>20</v>
      </c>
      <c r="C11" s="8" t="n">
        <v>8</v>
      </c>
      <c r="D11" s="8" t="n">
        <v>3</v>
      </c>
      <c r="E11" s="9" t="s">
        <v>10</v>
      </c>
    </row>
    <row r="12" customFormat="false" ht="26.85" hidden="false" customHeight="false" outlineLevel="0" collapsed="false">
      <c r="A12" s="6" t="s">
        <v>21</v>
      </c>
      <c r="B12" s="7" t="s">
        <v>22</v>
      </c>
      <c r="C12" s="8" t="n">
        <v>3</v>
      </c>
      <c r="D12" s="8" t="n">
        <v>4</v>
      </c>
      <c r="E12" s="9" t="s">
        <v>10</v>
      </c>
    </row>
    <row r="13" customFormat="false" ht="26.85" hidden="false" customHeight="false" outlineLevel="0" collapsed="false">
      <c r="A13" s="6" t="s">
        <v>23</v>
      </c>
      <c r="B13" s="7" t="s">
        <v>24</v>
      </c>
      <c r="C13" s="8" t="n">
        <v>5</v>
      </c>
      <c r="D13" s="8" t="n">
        <v>4</v>
      </c>
      <c r="E13" s="9" t="s">
        <v>10</v>
      </c>
    </row>
    <row r="14" customFormat="false" ht="26.85" hidden="false" customHeight="false" outlineLevel="0" collapsed="false">
      <c r="A14" s="6" t="s">
        <v>25</v>
      </c>
      <c r="B14" s="7" t="s">
        <v>26</v>
      </c>
      <c r="C14" s="8" t="n">
        <v>8</v>
      </c>
      <c r="D14" s="8" t="n">
        <v>5</v>
      </c>
      <c r="E14" s="9" t="s">
        <v>10</v>
      </c>
    </row>
    <row r="15" customFormat="false" ht="26.85" hidden="false" customHeight="false" outlineLevel="0" collapsed="false">
      <c r="A15" s="6" t="s">
        <v>27</v>
      </c>
      <c r="B15" s="7" t="s">
        <v>28</v>
      </c>
      <c r="C15" s="8" t="n">
        <v>5</v>
      </c>
      <c r="D15" s="8" t="n">
        <v>5</v>
      </c>
      <c r="E15" s="9" t="s">
        <v>10</v>
      </c>
    </row>
    <row r="16" customFormat="false" ht="26.85" hidden="false" customHeight="false" outlineLevel="0" collapsed="false">
      <c r="A16" s="6" t="s">
        <v>29</v>
      </c>
      <c r="B16" s="7" t="s">
        <v>30</v>
      </c>
      <c r="C16" s="8" t="n">
        <v>8</v>
      </c>
      <c r="D16" s="8" t="n">
        <v>6</v>
      </c>
      <c r="E16" s="9" t="s">
        <v>10</v>
      </c>
    </row>
    <row r="17" customFormat="false" ht="26.85" hidden="false" customHeight="false" outlineLevel="0" collapsed="false">
      <c r="A17" s="6" t="s">
        <v>31</v>
      </c>
      <c r="B17" s="7" t="s">
        <v>32</v>
      </c>
      <c r="C17" s="8" t="n">
        <v>8</v>
      </c>
      <c r="D17" s="8" t="n">
        <v>7</v>
      </c>
      <c r="E17" s="9" t="s">
        <v>10</v>
      </c>
    </row>
    <row r="18" customFormat="false" ht="26.85" hidden="false" customHeight="false" outlineLevel="0" collapsed="false">
      <c r="A18" s="6" t="s">
        <v>33</v>
      </c>
      <c r="B18" s="7" t="s">
        <v>34</v>
      </c>
      <c r="C18" s="8" t="n">
        <v>5</v>
      </c>
      <c r="D18" s="8" t="n">
        <v>7</v>
      </c>
      <c r="E18" s="9" t="s">
        <v>10</v>
      </c>
    </row>
    <row r="19" customFormat="false" ht="26.85" hidden="false" customHeight="false" outlineLevel="0" collapsed="false">
      <c r="A19" s="6" t="s">
        <v>35</v>
      </c>
      <c r="B19" s="7" t="s">
        <v>36</v>
      </c>
      <c r="C19" s="8" t="n">
        <v>5</v>
      </c>
      <c r="D19" s="8" t="n">
        <v>8</v>
      </c>
      <c r="E19" s="9" t="s">
        <v>10</v>
      </c>
    </row>
    <row r="20" customFormat="false" ht="26.85" hidden="false" customHeight="false" outlineLevel="0" collapsed="false">
      <c r="A20" s="6" t="s">
        <v>37</v>
      </c>
      <c r="B20" s="7" t="s">
        <v>38</v>
      </c>
      <c r="C20" s="8" t="n">
        <v>5</v>
      </c>
      <c r="D20" s="8" t="n">
        <v>9</v>
      </c>
      <c r="E20" s="9" t="s">
        <v>10</v>
      </c>
    </row>
    <row r="21" customFormat="false" ht="26.85" hidden="false" customHeight="false" outlineLevel="0" collapsed="false">
      <c r="A21" s="6" t="s">
        <v>39</v>
      </c>
      <c r="B21" s="7" t="s">
        <v>40</v>
      </c>
      <c r="C21" s="8" t="n">
        <v>8</v>
      </c>
      <c r="D21" s="8" t="n">
        <v>9</v>
      </c>
      <c r="E21" s="9" t="s">
        <v>10</v>
      </c>
    </row>
    <row r="22" customFormat="false" ht="26.85" hidden="false" customHeight="false" outlineLevel="0" collapsed="false">
      <c r="A22" s="6" t="s">
        <v>41</v>
      </c>
      <c r="B22" s="7" t="s">
        <v>42</v>
      </c>
      <c r="C22" s="8" t="n">
        <v>13</v>
      </c>
      <c r="D22" s="8" t="n">
        <v>10</v>
      </c>
      <c r="E22" s="9" t="s">
        <v>10</v>
      </c>
    </row>
    <row r="23" customFormat="false" ht="26.85" hidden="false" customHeight="false" outlineLevel="0" collapsed="false">
      <c r="A23" s="6" t="s">
        <v>43</v>
      </c>
      <c r="B23" s="7" t="s">
        <v>44</v>
      </c>
      <c r="C23" s="8" t="n">
        <v>8</v>
      </c>
      <c r="D23" s="8" t="n">
        <v>10</v>
      </c>
      <c r="E23" s="9" t="s">
        <v>10</v>
      </c>
    </row>
    <row r="24" customFormat="false" ht="26.85" hidden="false" customHeight="false" outlineLevel="0" collapsed="false">
      <c r="A24" s="6" t="s">
        <v>45</v>
      </c>
      <c r="B24" s="7" t="s">
        <v>46</v>
      </c>
      <c r="C24" s="8" t="n">
        <v>5</v>
      </c>
      <c r="D24" s="8" t="n">
        <v>11</v>
      </c>
      <c r="E24" s="9" t="s">
        <v>10</v>
      </c>
    </row>
    <row r="25" customFormat="false" ht="26.85" hidden="false" customHeight="false" outlineLevel="0" collapsed="false">
      <c r="A25" s="6" t="s">
        <v>47</v>
      </c>
      <c r="B25" s="7" t="s">
        <v>48</v>
      </c>
      <c r="C25" s="8" t="n">
        <v>8</v>
      </c>
      <c r="D25" s="8" t="n">
        <v>11</v>
      </c>
      <c r="E25" s="9" t="s">
        <v>10</v>
      </c>
    </row>
    <row r="26" customFormat="false" ht="26.85" hidden="false" customHeight="false" outlineLevel="0" collapsed="false">
      <c r="A26" s="6" t="s">
        <v>49</v>
      </c>
      <c r="B26" s="7" t="s">
        <v>50</v>
      </c>
      <c r="C26" s="8" t="n">
        <v>3</v>
      </c>
      <c r="D26" s="8" t="n">
        <v>12</v>
      </c>
      <c r="E26" s="9" t="s">
        <v>10</v>
      </c>
    </row>
    <row r="27" customFormat="false" ht="26.85" hidden="false" customHeight="false" outlineLevel="0" collapsed="false">
      <c r="A27" s="6" t="s">
        <v>51</v>
      </c>
      <c r="B27" s="7" t="s">
        <v>52</v>
      </c>
      <c r="C27" s="8" t="n">
        <v>5</v>
      </c>
      <c r="D27" s="8" t="n">
        <v>12</v>
      </c>
      <c r="E27" s="9" t="s">
        <v>10</v>
      </c>
    </row>
    <row r="28" customFormat="false" ht="15" hidden="false" customHeight="false" outlineLevel="0" collapsed="false">
      <c r="A28" s="10"/>
      <c r="B28" s="11" t="s">
        <v>53</v>
      </c>
      <c r="C28" s="12" t="n">
        <f aca="false">SUM(C6:C27)</f>
        <v>141</v>
      </c>
      <c r="D28" s="10"/>
      <c r="E28" s="10"/>
    </row>
    <row r="30" customFormat="false" ht="15" hidden="false" customHeight="false" outlineLevel="0" collapsed="false">
      <c r="A30" s="13" t="s">
        <v>54</v>
      </c>
      <c r="B30" s="13"/>
      <c r="C30" s="13"/>
      <c r="D30" s="13"/>
      <c r="E30" s="13"/>
    </row>
    <row r="31" customFormat="false" ht="26.85" hidden="false" customHeight="false" outlineLevel="0" collapsed="false">
      <c r="A31" s="14" t="s">
        <v>55</v>
      </c>
      <c r="B31" s="15" t="s">
        <v>56</v>
      </c>
      <c r="C31" s="16" t="n">
        <v>8</v>
      </c>
      <c r="D31" s="16"/>
      <c r="E31" s="17" t="s">
        <v>57</v>
      </c>
    </row>
    <row r="32" customFormat="false" ht="26.85" hidden="false" customHeight="false" outlineLevel="0" collapsed="false">
      <c r="A32" s="14" t="s">
        <v>58</v>
      </c>
      <c r="B32" s="15" t="s">
        <v>59</v>
      </c>
      <c r="C32" s="16" t="n">
        <v>13</v>
      </c>
      <c r="D32" s="16"/>
      <c r="E32" s="17" t="s">
        <v>57</v>
      </c>
    </row>
    <row r="33" customFormat="false" ht="26.85" hidden="false" customHeight="false" outlineLevel="0" collapsed="false">
      <c r="A33" s="14" t="s">
        <v>60</v>
      </c>
      <c r="B33" s="15" t="s">
        <v>61</v>
      </c>
      <c r="C33" s="16" t="n">
        <v>8</v>
      </c>
      <c r="D33" s="16"/>
      <c r="E33" s="17" t="s">
        <v>57</v>
      </c>
    </row>
    <row r="34" customFormat="false" ht="26.85" hidden="false" customHeight="false" outlineLevel="0" collapsed="false">
      <c r="A34" s="14" t="s">
        <v>62</v>
      </c>
      <c r="B34" s="15" t="s">
        <v>63</v>
      </c>
      <c r="C34" s="16" t="n">
        <v>3</v>
      </c>
      <c r="D34" s="16"/>
      <c r="E34" s="17" t="s">
        <v>57</v>
      </c>
    </row>
    <row r="35" customFormat="false" ht="26.85" hidden="false" customHeight="false" outlineLevel="0" collapsed="false">
      <c r="A35" s="14" t="s">
        <v>64</v>
      </c>
      <c r="B35" s="15" t="s">
        <v>65</v>
      </c>
      <c r="C35" s="16" t="n">
        <v>13</v>
      </c>
      <c r="D35" s="16"/>
      <c r="E35" s="17" t="s">
        <v>57</v>
      </c>
    </row>
    <row r="36" customFormat="false" ht="26.85" hidden="false" customHeight="false" outlineLevel="0" collapsed="false">
      <c r="A36" s="14" t="s">
        <v>66</v>
      </c>
      <c r="B36" s="15" t="s">
        <v>67</v>
      </c>
      <c r="C36" s="16" t="n">
        <v>13</v>
      </c>
      <c r="D36" s="16"/>
      <c r="E36" s="17" t="s">
        <v>57</v>
      </c>
    </row>
    <row r="37" customFormat="false" ht="26.85" hidden="false" customHeight="false" outlineLevel="0" collapsed="false">
      <c r="A37" s="14" t="s">
        <v>68</v>
      </c>
      <c r="B37" s="15" t="s">
        <v>69</v>
      </c>
      <c r="C37" s="16" t="n">
        <v>8</v>
      </c>
      <c r="D37" s="16"/>
      <c r="E37" s="17" t="s">
        <v>57</v>
      </c>
    </row>
    <row r="38" customFormat="false" ht="26.85" hidden="false" customHeight="false" outlineLevel="0" collapsed="false">
      <c r="A38" s="14" t="s">
        <v>70</v>
      </c>
      <c r="B38" s="15" t="s">
        <v>71</v>
      </c>
      <c r="C38" s="16" t="n">
        <v>8</v>
      </c>
      <c r="D38" s="16"/>
      <c r="E38" s="17" t="s">
        <v>57</v>
      </c>
    </row>
    <row r="39" customFormat="false" ht="26.85" hidden="false" customHeight="false" outlineLevel="0" collapsed="false">
      <c r="A39" s="14" t="s">
        <v>72</v>
      </c>
      <c r="B39" s="15" t="s">
        <v>73</v>
      </c>
      <c r="C39" s="16" t="n">
        <v>8</v>
      </c>
      <c r="D39" s="16"/>
      <c r="E39" s="17" t="s">
        <v>57</v>
      </c>
    </row>
    <row r="40" customFormat="false" ht="26.85" hidden="false" customHeight="false" outlineLevel="0" collapsed="false">
      <c r="A40" s="14" t="s">
        <v>74</v>
      </c>
      <c r="B40" s="15" t="s">
        <v>75</v>
      </c>
      <c r="C40" s="16" t="n">
        <v>3</v>
      </c>
      <c r="D40" s="16"/>
      <c r="E40" s="17" t="s">
        <v>57</v>
      </c>
    </row>
    <row r="41" customFormat="false" ht="26.85" hidden="false" customHeight="false" outlineLevel="0" collapsed="false">
      <c r="A41" s="14" t="s">
        <v>76</v>
      </c>
      <c r="B41" s="15" t="s">
        <v>77</v>
      </c>
      <c r="C41" s="16" t="n">
        <v>5</v>
      </c>
      <c r="D41" s="16"/>
      <c r="E41" s="17" t="s">
        <v>57</v>
      </c>
    </row>
    <row r="42" customFormat="false" ht="26.85" hidden="false" customHeight="false" outlineLevel="0" collapsed="false">
      <c r="A42" s="14" t="s">
        <v>78</v>
      </c>
      <c r="B42" s="15" t="s">
        <v>79</v>
      </c>
      <c r="C42" s="16" t="n">
        <v>20</v>
      </c>
      <c r="D42" s="16"/>
      <c r="E42" s="17" t="s">
        <v>57</v>
      </c>
    </row>
    <row r="43" customFormat="false" ht="26.85" hidden="false" customHeight="false" outlineLevel="0" collapsed="false">
      <c r="A43" s="14" t="s">
        <v>80</v>
      </c>
      <c r="B43" s="15" t="s">
        <v>81</v>
      </c>
      <c r="C43" s="16" t="n">
        <v>5</v>
      </c>
      <c r="D43" s="16"/>
      <c r="E43" s="17" t="s">
        <v>57</v>
      </c>
    </row>
    <row r="44" customFormat="false" ht="26.85" hidden="false" customHeight="false" outlineLevel="0" collapsed="false">
      <c r="A44" s="14" t="s">
        <v>82</v>
      </c>
      <c r="B44" s="15" t="s">
        <v>83</v>
      </c>
      <c r="C44" s="16" t="n">
        <v>3</v>
      </c>
      <c r="D44" s="16"/>
      <c r="E44" s="17" t="s">
        <v>57</v>
      </c>
    </row>
    <row r="45" customFormat="false" ht="26.85" hidden="false" customHeight="false" outlineLevel="0" collapsed="false">
      <c r="A45" s="14" t="s">
        <v>84</v>
      </c>
      <c r="B45" s="15" t="s">
        <v>85</v>
      </c>
      <c r="C45" s="16" t="n">
        <v>5</v>
      </c>
      <c r="D45" s="16"/>
      <c r="E45" s="17" t="s">
        <v>57</v>
      </c>
    </row>
    <row r="46" customFormat="false" ht="26.85" hidden="false" customHeight="false" outlineLevel="0" collapsed="false">
      <c r="A46" s="14" t="s">
        <v>86</v>
      </c>
      <c r="B46" s="15" t="s">
        <v>87</v>
      </c>
      <c r="C46" s="16" t="n">
        <v>5</v>
      </c>
      <c r="D46" s="16"/>
      <c r="E46" s="17" t="s">
        <v>57</v>
      </c>
    </row>
    <row r="47" customFormat="false" ht="15" hidden="false" customHeight="false" outlineLevel="0" collapsed="false">
      <c r="A47" s="18"/>
      <c r="B47" s="19" t="s">
        <v>88</v>
      </c>
      <c r="C47" s="20" t="n">
        <f aca="false">SUM(C31:C46)</f>
        <v>128</v>
      </c>
      <c r="D47" s="18"/>
      <c r="E47" s="18"/>
    </row>
  </sheetData>
  <mergeCells count="2">
    <mergeCell ref="A5:E5"/>
    <mergeCell ref="A30:E30"/>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6"/>
  </cols>
  <sheetData>
    <row r="1" customFormat="false" ht="17.35" hidden="false" customHeight="false" outlineLevel="0" collapsed="false">
      <c r="A1" s="21" t="s">
        <v>89</v>
      </c>
    </row>
    <row r="2" customFormat="false" ht="15" hidden="false" customHeight="false" outlineLevel="0" collapsed="false">
      <c r="A2" s="2" t="s">
        <v>90</v>
      </c>
    </row>
    <row r="4" customFormat="false" ht="15" hidden="false" customHeight="false" outlineLevel="0" collapsed="false">
      <c r="A4" s="22" t="s">
        <v>91</v>
      </c>
      <c r="B4" s="22" t="s">
        <v>92</v>
      </c>
      <c r="C4" s="22" t="s">
        <v>93</v>
      </c>
    </row>
    <row r="5" customFormat="false" ht="15" hidden="false" customHeight="false" outlineLevel="0" collapsed="false">
      <c r="A5" s="23" t="s">
        <v>94</v>
      </c>
      <c r="B5" s="23" t="n">
        <f aca="false">SUMIF(プロダクトバックログ!$D$6:$D$27,1,プロダクトバックログ!$C$6:$C$27)</f>
        <v>13</v>
      </c>
      <c r="C5" s="23" t="n">
        <f aca="false">COUNTIF(プロダクトバックログ!$D$6:$D$27,1)</f>
        <v>2</v>
      </c>
    </row>
    <row r="6" customFormat="false" ht="15" hidden="false" customHeight="false" outlineLevel="0" collapsed="false">
      <c r="A6" s="23" t="s">
        <v>95</v>
      </c>
      <c r="B6" s="23" t="n">
        <f aca="false">SUMIF(プロダクトバックログ!$D$6:$D$27,2,プロダクトバックログ!$C$6:$C$27)</f>
        <v>13</v>
      </c>
      <c r="C6" s="23" t="n">
        <f aca="false">COUNTIF(プロダクトバックログ!$D$6:$D$27,2)</f>
        <v>2</v>
      </c>
    </row>
    <row r="7" customFormat="false" ht="15" hidden="false" customHeight="false" outlineLevel="0" collapsed="false">
      <c r="A7" s="23" t="s">
        <v>96</v>
      </c>
      <c r="B7" s="23" t="n">
        <f aca="false">SUMIF(プロダクトバックログ!$D$6:$D$27,3,プロダクトバックログ!$C$6:$C$27)</f>
        <v>13</v>
      </c>
      <c r="C7" s="23" t="n">
        <f aca="false">COUNTIF(プロダクトバックログ!$D$6:$D$27,3)</f>
        <v>2</v>
      </c>
    </row>
    <row r="8" customFormat="false" ht="15" hidden="false" customHeight="false" outlineLevel="0" collapsed="false">
      <c r="A8" s="23" t="s">
        <v>97</v>
      </c>
      <c r="B8" s="23" t="n">
        <f aca="false">SUMIF(プロダクトバックログ!$D$6:$D$27,4,プロダクトバックログ!$C$6:$C$27)</f>
        <v>8</v>
      </c>
      <c r="C8" s="23" t="n">
        <f aca="false">COUNTIF(プロダクトバックログ!$D$6:$D$27,4)</f>
        <v>2</v>
      </c>
    </row>
    <row r="9" customFormat="false" ht="15" hidden="false" customHeight="false" outlineLevel="0" collapsed="false">
      <c r="A9" s="23" t="s">
        <v>98</v>
      </c>
      <c r="B9" s="23" t="n">
        <f aca="false">SUMIF(プロダクトバックログ!$D$6:$D$27,5,プロダクトバックログ!$C$6:$C$27)</f>
        <v>13</v>
      </c>
      <c r="C9" s="23" t="n">
        <f aca="false">COUNTIF(プロダクトバックログ!$D$6:$D$27,5)</f>
        <v>2</v>
      </c>
    </row>
    <row r="10" customFormat="false" ht="15" hidden="false" customHeight="false" outlineLevel="0" collapsed="false">
      <c r="A10" s="23" t="s">
        <v>99</v>
      </c>
      <c r="B10" s="23" t="n">
        <f aca="false">SUMIF(プロダクトバックログ!$D$6:$D$27,6,プロダクトバックログ!$C$6:$C$27)</f>
        <v>8</v>
      </c>
      <c r="C10" s="23" t="n">
        <f aca="false">COUNTIF(プロダクトバックログ!$D$6:$D$27,6)</f>
        <v>1</v>
      </c>
    </row>
    <row r="11" customFormat="false" ht="15" hidden="false" customHeight="false" outlineLevel="0" collapsed="false">
      <c r="A11" s="23" t="s">
        <v>100</v>
      </c>
      <c r="B11" s="23" t="n">
        <f aca="false">SUMIF(プロダクトバックログ!$D$6:$D$27,7,プロダクトバックログ!$C$6:$C$27)</f>
        <v>13</v>
      </c>
      <c r="C11" s="23" t="n">
        <f aca="false">COUNTIF(プロダクトバックログ!$D$6:$D$27,7)</f>
        <v>2</v>
      </c>
    </row>
    <row r="12" customFormat="false" ht="15" hidden="false" customHeight="false" outlineLevel="0" collapsed="false">
      <c r="A12" s="23" t="s">
        <v>101</v>
      </c>
      <c r="B12" s="23" t="n">
        <f aca="false">SUMIF(プロダクトバックログ!$D$6:$D$27,8,プロダクトバックログ!$C$6:$C$27)</f>
        <v>5</v>
      </c>
      <c r="C12" s="23" t="n">
        <f aca="false">COUNTIF(プロダクトバックログ!$D$6:$D$27,8)</f>
        <v>1</v>
      </c>
    </row>
    <row r="13" customFormat="false" ht="15" hidden="false" customHeight="false" outlineLevel="0" collapsed="false">
      <c r="A13" s="23" t="s">
        <v>102</v>
      </c>
      <c r="B13" s="23" t="n">
        <f aca="false">SUMIF(プロダクトバックログ!$D$6:$D$27,9,プロダクトバックログ!$C$6:$C$27)</f>
        <v>13</v>
      </c>
      <c r="C13" s="23" t="n">
        <f aca="false">COUNTIF(プロダクトバックログ!$D$6:$D$27,9)</f>
        <v>2</v>
      </c>
    </row>
    <row r="14" customFormat="false" ht="15" hidden="false" customHeight="false" outlineLevel="0" collapsed="false">
      <c r="A14" s="23" t="s">
        <v>103</v>
      </c>
      <c r="B14" s="23" t="n">
        <f aca="false">SUMIF(プロダクトバックログ!$D$6:$D$27,10,プロダクトバックログ!$C$6:$C$27)</f>
        <v>21</v>
      </c>
      <c r="C14" s="23" t="n">
        <f aca="false">COUNTIF(プロダクトバックログ!$D$6:$D$27,10)</f>
        <v>2</v>
      </c>
    </row>
    <row r="15" customFormat="false" ht="15" hidden="false" customHeight="false" outlineLevel="0" collapsed="false">
      <c r="A15" s="23" t="s">
        <v>104</v>
      </c>
      <c r="B15" s="23" t="n">
        <f aca="false">SUMIF(プロダクトバックログ!$D$6:$D$27,11,プロダクトバックログ!$C$6:$C$27)</f>
        <v>13</v>
      </c>
      <c r="C15" s="23" t="n">
        <f aca="false">COUNTIF(プロダクトバックログ!$D$6:$D$27,11)</f>
        <v>2</v>
      </c>
    </row>
    <row r="16" customFormat="false" ht="15" hidden="false" customHeight="false" outlineLevel="0" collapsed="false">
      <c r="A16" s="23" t="s">
        <v>105</v>
      </c>
      <c r="B16" s="23" t="n">
        <f aca="false">SUMIF(プロダクトバックログ!$D$6:$D$27,12,プロダクトバックログ!$C$6:$C$27)</f>
        <v>8</v>
      </c>
      <c r="C16" s="23" t="n">
        <f aca="false">COUNTIF(プロダクトバックログ!$D$6:$D$27,12)</f>
        <v>2</v>
      </c>
    </row>
    <row r="17" customFormat="false" ht="15" hidden="false" customHeight="false" outlineLevel="0" collapsed="false">
      <c r="A17" s="24" t="s">
        <v>106</v>
      </c>
      <c r="B17" s="24" t="n">
        <f aca="false">SUM(B5:B16)</f>
        <v>141</v>
      </c>
      <c r="C17" s="24" t="n">
        <f aca="false">SUM(C5:C16)</f>
        <v>22</v>
      </c>
    </row>
    <row r="19" customFormat="false" ht="15" hidden="false" customHeight="false" outlineLevel="0" collapsed="false">
      <c r="A19" s="25" t="s">
        <v>107</v>
      </c>
      <c r="B19" s="26" t="n">
        <f aca="false">ROUND(AVERAGE(B5:B16),1)</f>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2026-07-02T05:31:22Z</dcterms:created>
  <dc:creator>openpyxl</dc:creator>
  <dc:description/>
  <dc:language>en-US</dc:language>
  <cp:lastModifiedBy/>
  <dcterms:modified xsi:type="dcterms:W3CDTF">2026-07-02T05:31:22Z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