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月次KPI" sheetId="1" state="visible" r:id="rId3"/>
    <sheet name="サマリー・示唆" sheetId="2" state="visible" r:id="rId4"/>
  </sheets>
  <definedNames>
    <definedName function="false" hidden="false" localSheetId="0" name="_xlnm.Print_Titles" vbProcedure="false">月次KPI!$5:$5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<sst xmlns="http://schemas.openxmlformats.org/spreadsheetml/2006/main" count="53" uniqueCount="53">
  <si>
    <r>
      <rPr>
        <b val="true"/>
        <sz val="16"/>
        <color rgb="FF0B3B39"/>
        <rFont val="Arial"/>
        <family val="0"/>
        <charset val="1"/>
      </rPr>
      <t xml:space="preserve">BreatheEasy </t>
    </r>
    <r>
      <rPr>
        <b val="true"/>
        <sz val="16"/>
        <color rgb="FF0B3B39"/>
        <rFont val="Noto Sans CJK SC"/>
        <family val="2"/>
      </rPr>
      <t xml:space="preserve">｜ 月次ユーザー・プレミアム指標</t>
    </r>
  </si>
  <si>
    <r>
      <rPr>
        <sz val="9"/>
        <color rgb="FF64748B"/>
        <rFont val="Noto Sans CJK SC"/>
        <family val="2"/>
      </rPr>
      <t xml:space="preserve">株式会社</t>
    </r>
    <r>
      <rPr>
        <sz val="9"/>
        <color rgb="FF64748B"/>
        <rFont val="Arial"/>
        <family val="0"/>
        <charset val="1"/>
      </rPr>
      <t xml:space="preserve">BreatheEasy</t>
    </r>
    <r>
      <rPr>
        <sz val="9"/>
        <color rgb="FF64748B"/>
        <rFont val="Noto Sans CJK SC"/>
        <family val="2"/>
      </rPr>
      <t xml:space="preserve">（呼吸・メンタルウェルネスアプリ）　単位：人数</t>
    </r>
    <r>
      <rPr>
        <sz val="9"/>
        <color rgb="FF64748B"/>
        <rFont val="Arial"/>
        <family val="0"/>
        <charset val="1"/>
      </rPr>
      <t xml:space="preserve">=</t>
    </r>
    <r>
      <rPr>
        <sz val="9"/>
        <color rgb="FF64748B"/>
        <rFont val="Noto Sans CJK SC"/>
        <family val="2"/>
      </rPr>
      <t xml:space="preserve">人、金額</t>
    </r>
    <r>
      <rPr>
        <sz val="9"/>
        <color rgb="FF64748B"/>
        <rFont val="Arial"/>
        <family val="0"/>
        <charset val="1"/>
      </rPr>
      <t xml:space="preserve">=</t>
    </r>
    <r>
      <rPr>
        <sz val="9"/>
        <color rgb="FF64748B"/>
        <rFont val="Noto Sans CJK SC"/>
        <family val="2"/>
      </rPr>
      <t xml:space="preserve">円　※社内管理用データ（想定値）</t>
    </r>
  </si>
  <si>
    <r>
      <rPr>
        <sz val="9"/>
        <color rgb="FF64748B"/>
        <rFont val="Noto Sans CJK SC"/>
        <family val="2"/>
      </rPr>
      <t xml:space="preserve">設立 </t>
    </r>
    <r>
      <rPr>
        <sz val="9"/>
        <color rgb="FF64748B"/>
        <rFont val="Arial"/>
        <family val="0"/>
        <charset val="1"/>
      </rPr>
      <t xml:space="preserve">2024</t>
    </r>
    <r>
      <rPr>
        <sz val="9"/>
        <color rgb="FF64748B"/>
        <rFont val="Noto Sans CJK SC"/>
        <family val="2"/>
      </rPr>
      <t xml:space="preserve">年 ／ シード調達 </t>
    </r>
    <r>
      <rPr>
        <sz val="9"/>
        <color rgb="FF64748B"/>
        <rFont val="Arial"/>
        <family val="0"/>
        <charset val="1"/>
      </rPr>
      <t xml:space="preserve">2024</t>
    </r>
    <r>
      <rPr>
        <sz val="9"/>
        <color rgb="FF64748B"/>
        <rFont val="Noto Sans CJK SC"/>
        <family val="2"/>
      </rPr>
      <t xml:space="preserve">年</t>
    </r>
    <r>
      <rPr>
        <sz val="9"/>
        <color rgb="FF64748B"/>
        <rFont val="Arial"/>
        <family val="0"/>
        <charset val="1"/>
      </rPr>
      <t xml:space="preserve">12</t>
    </r>
    <r>
      <rPr>
        <sz val="9"/>
        <color rgb="FF64748B"/>
        <rFont val="Noto Sans CJK SC"/>
        <family val="2"/>
      </rPr>
      <t xml:space="preserve">月（</t>
    </r>
    <r>
      <rPr>
        <sz val="9"/>
        <color rgb="FF64748B"/>
        <rFont val="Arial"/>
        <family val="0"/>
        <charset val="1"/>
      </rPr>
      <t xml:space="preserve">1.5</t>
    </r>
    <r>
      <rPr>
        <sz val="9"/>
        <color rgb="FF64748B"/>
        <rFont val="Noto Sans CJK SC"/>
        <family val="2"/>
      </rPr>
      <t xml:space="preserve">億円）／ 正式ローンチ </t>
    </r>
    <r>
      <rPr>
        <sz val="9"/>
        <color rgb="FF64748B"/>
        <rFont val="Arial"/>
        <family val="0"/>
        <charset val="1"/>
      </rPr>
      <t xml:space="preserve">2025</t>
    </r>
    <r>
      <rPr>
        <sz val="9"/>
        <color rgb="FF64748B"/>
        <rFont val="Noto Sans CJK SC"/>
        <family val="2"/>
      </rPr>
      <t xml:space="preserve">年</t>
    </r>
    <r>
      <rPr>
        <sz val="9"/>
        <color rgb="FF64748B"/>
        <rFont val="Arial"/>
        <family val="0"/>
        <charset val="1"/>
      </rPr>
      <t xml:space="preserve">6</t>
    </r>
    <r>
      <rPr>
        <sz val="9"/>
        <color rgb="FF64748B"/>
        <rFont val="Noto Sans CJK SC"/>
        <family val="2"/>
      </rPr>
      <t xml:space="preserve">月 ／ プレミアム（月額</t>
    </r>
    <r>
      <rPr>
        <sz val="9"/>
        <color rgb="FF64748B"/>
        <rFont val="Arial"/>
        <family val="0"/>
        <charset val="1"/>
      </rPr>
      <t xml:space="preserve">¥1,000</t>
    </r>
    <r>
      <rPr>
        <sz val="9"/>
        <color rgb="FF64748B"/>
        <rFont val="Noto Sans CJK SC"/>
        <family val="2"/>
      </rPr>
      <t xml:space="preserve">）開始 </t>
    </r>
    <r>
      <rPr>
        <sz val="9"/>
        <color rgb="FF64748B"/>
        <rFont val="Arial"/>
        <family val="0"/>
        <charset val="1"/>
      </rPr>
      <t xml:space="preserve">2026</t>
    </r>
    <r>
      <rPr>
        <sz val="9"/>
        <color rgb="FF64748B"/>
        <rFont val="Noto Sans CJK SC"/>
        <family val="2"/>
      </rPr>
      <t xml:space="preserve">年</t>
    </r>
    <r>
      <rPr>
        <sz val="9"/>
        <color rgb="FF64748B"/>
        <rFont val="Arial"/>
        <family val="0"/>
        <charset val="1"/>
      </rPr>
      <t xml:space="preserve">1</t>
    </r>
    <r>
      <rPr>
        <sz val="9"/>
        <color rgb="FF64748B"/>
        <rFont val="Noto Sans CJK SC"/>
        <family val="2"/>
      </rPr>
      <t xml:space="preserve">月</t>
    </r>
  </si>
  <si>
    <t xml:space="preserve">年月</t>
  </si>
  <si>
    <r>
      <rPr>
        <b val="true"/>
        <sz val="9"/>
        <color rgb="FFFFFFFF"/>
        <rFont val="Arial"/>
        <family val="0"/>
        <charset val="1"/>
      </rPr>
      <t xml:space="preserve">MAU</t>
    </r>
    <r>
      <rPr>
        <b val="true"/>
        <sz val="9"/>
        <color rgb="FFFFFFFF"/>
        <rFont val="Noto Sans CJK SC"/>
        <family val="2"/>
      </rPr>
      <t xml:space="preserve">（月間利用者）</t>
    </r>
  </si>
  <si>
    <r>
      <rPr>
        <b val="true"/>
        <sz val="9"/>
        <color rgb="FFFFFFFF"/>
        <rFont val="Noto Sans CJK SC"/>
        <family val="2"/>
      </rPr>
      <t xml:space="preserve">累計</t>
    </r>
    <r>
      <rPr>
        <b val="true"/>
        <sz val="9"/>
        <color rgb="FFFFFFFF"/>
        <rFont val="Arial"/>
        <family val="0"/>
        <charset val="1"/>
      </rPr>
      <t xml:space="preserve">DL</t>
    </r>
  </si>
  <si>
    <t xml:space="preserve">新規プレミアム</t>
  </si>
  <si>
    <t xml:space="preserve">解約プレミアム</t>
  </si>
  <si>
    <t xml:space="preserve">プレミアム会員数（月末）</t>
  </si>
  <si>
    <r>
      <rPr>
        <b val="true"/>
        <sz val="9"/>
        <color rgb="FFFFFFFF"/>
        <rFont val="Noto Sans CJK SC"/>
        <family val="2"/>
      </rPr>
      <t xml:space="preserve">対</t>
    </r>
    <r>
      <rPr>
        <b val="true"/>
        <sz val="9"/>
        <color rgb="FFFFFFFF"/>
        <rFont val="Arial"/>
        <family val="0"/>
        <charset val="1"/>
      </rPr>
      <t xml:space="preserve">MAU</t>
    </r>
    <r>
      <rPr>
        <b val="true"/>
        <sz val="9"/>
        <color rgb="FFFFFFFF"/>
        <rFont val="Noto Sans CJK SC"/>
        <family val="2"/>
      </rPr>
      <t xml:space="preserve">比</t>
    </r>
  </si>
  <si>
    <t xml:space="preserve">プレミアム売上（総額）</t>
  </si>
  <si>
    <r>
      <rPr>
        <b val="true"/>
        <sz val="9"/>
        <color rgb="FFFFFFFF"/>
        <rFont val="Noto Sans CJK SC"/>
        <family val="2"/>
      </rPr>
      <t xml:space="preserve">純売上（手数料後 約</t>
    </r>
    <r>
      <rPr>
        <b val="true"/>
        <sz val="9"/>
        <color rgb="FFFFFFFF"/>
        <rFont val="Arial"/>
        <family val="0"/>
        <charset val="1"/>
      </rPr>
      <t xml:space="preserve">70%</t>
    </r>
    <r>
      <rPr>
        <b val="true"/>
        <sz val="9"/>
        <color rgb="FFFFFFFF"/>
        <rFont val="Noto Sans CJK SC"/>
        <family val="2"/>
      </rPr>
      <t xml:space="preserve">）</t>
    </r>
  </si>
  <si>
    <t xml:space="preserve">月次コスト</t>
  </si>
  <si>
    <t xml:space="preserve">月次損益</t>
  </si>
  <si>
    <t xml:space="preserve">累計損益</t>
  </si>
  <si>
    <t xml:space="preserve">備考</t>
  </si>
  <si>
    <t xml:space="preserve">2025-06</t>
  </si>
  <si>
    <t xml:space="preserve">正式ローンチ</t>
  </si>
  <si>
    <t xml:space="preserve">2025-07</t>
  </si>
  <si>
    <t xml:space="preserve">2025-08</t>
  </si>
  <si>
    <t xml:space="preserve">2025-09</t>
  </si>
  <si>
    <t xml:space="preserve">2025-10</t>
  </si>
  <si>
    <t xml:space="preserve">2025-11</t>
  </si>
  <si>
    <t xml:space="preserve">2025-12</t>
  </si>
  <si>
    <t xml:space="preserve">プレミアム開発・準備</t>
  </si>
  <si>
    <t xml:space="preserve">2026-01</t>
  </si>
  <si>
    <r>
      <rPr>
        <i val="true"/>
        <sz val="8"/>
        <color rgb="FF64748B"/>
        <rFont val="Noto Sans CJK SC"/>
        <family val="2"/>
      </rPr>
      <t xml:space="preserve">プレミアム（月額</t>
    </r>
    <r>
      <rPr>
        <i val="true"/>
        <sz val="8"/>
        <color rgb="FF64748B"/>
        <rFont val="Arial"/>
        <family val="0"/>
        <charset val="1"/>
      </rPr>
      <t xml:space="preserve">¥1,000</t>
    </r>
    <r>
      <rPr>
        <i val="true"/>
        <sz val="8"/>
        <color rgb="FF64748B"/>
        <rFont val="Noto Sans CJK SC"/>
        <family val="2"/>
      </rPr>
      <t xml:space="preserve">）開始 → 収益化スタート</t>
    </r>
  </si>
  <si>
    <t xml:space="preserve">2026-02</t>
  </si>
  <si>
    <t xml:space="preserve">2026-03</t>
  </si>
  <si>
    <t xml:space="preserve">2026-04</t>
  </si>
  <si>
    <r>
      <rPr>
        <i val="true"/>
        <sz val="8"/>
        <color rgb="FF64748B"/>
        <rFont val="Noto Sans CJK SC"/>
        <family val="2"/>
      </rPr>
      <t xml:space="preserve">プレミアム会員数ピーク：</t>
    </r>
    <r>
      <rPr>
        <i val="true"/>
        <sz val="8"/>
        <color rgb="FF64748B"/>
        <rFont val="Arial"/>
        <family val="0"/>
        <charset val="1"/>
      </rPr>
      <t xml:space="preserve">5,400</t>
    </r>
    <r>
      <rPr>
        <i val="true"/>
        <sz val="8"/>
        <color rgb="FF64748B"/>
        <rFont val="Noto Sans CJK SC"/>
        <family val="2"/>
      </rPr>
      <t xml:space="preserve">人</t>
    </r>
  </si>
  <si>
    <t xml:space="preserve">2026-05</t>
  </si>
  <si>
    <t xml:space="preserve">成長鈍化・解約増加に転じる</t>
  </si>
  <si>
    <t xml:space="preserve">2026-06</t>
  </si>
  <si>
    <t xml:space="preserve">2026-07</t>
  </si>
  <si>
    <t xml:space="preserve">2026-08</t>
  </si>
  <si>
    <t xml:space="preserve">2026-09</t>
  </si>
  <si>
    <t xml:space="preserve">直近月（このデータの最新時点）</t>
  </si>
  <si>
    <r>
      <rPr>
        <b val="true"/>
        <sz val="15"/>
        <color rgb="FF0B3B39"/>
        <rFont val="Noto Sans CJK SC"/>
        <family val="2"/>
      </rPr>
      <t xml:space="preserve">サマリー：データが示す</t>
    </r>
    <r>
      <rPr>
        <b val="true"/>
        <sz val="15"/>
        <color rgb="FF0B3B39"/>
        <rFont val="Arial"/>
        <family val="0"/>
        <charset val="1"/>
      </rPr>
      <t xml:space="preserve">5</t>
    </r>
    <r>
      <rPr>
        <b val="true"/>
        <sz val="15"/>
        <color rgb="FF0B3B39"/>
        <rFont val="Noto Sans CJK SC"/>
        <family val="2"/>
      </rPr>
      <t xml:space="preserve">つの事実</t>
    </r>
  </si>
  <si>
    <t xml:space="preserve">#</t>
  </si>
  <si>
    <t xml:space="preserve">事実</t>
  </si>
  <si>
    <t xml:space="preserve">データ上の裏付け</t>
  </si>
  <si>
    <t xml:space="preserve">1</t>
  </si>
  <si>
    <r>
      <rPr>
        <sz val="10"/>
        <color rgb="FF1E293B"/>
        <rFont val="Arial"/>
        <family val="0"/>
        <charset val="1"/>
      </rPr>
      <t xml:space="preserve">2026</t>
    </r>
    <r>
      <rPr>
        <sz val="10"/>
        <color rgb="FF1E293B"/>
        <rFont val="Noto Sans CJK SC"/>
        <family val="2"/>
      </rPr>
      <t xml:space="preserve">年</t>
    </r>
    <r>
      <rPr>
        <sz val="10"/>
        <color rgb="FF1E293B"/>
        <rFont val="Arial"/>
        <family val="0"/>
        <charset val="1"/>
      </rPr>
      <t xml:space="preserve">1</t>
    </r>
    <r>
      <rPr>
        <sz val="10"/>
        <color rgb="FF1E293B"/>
        <rFont val="Noto Sans CJK SC"/>
        <family val="2"/>
      </rPr>
      <t xml:space="preserve">月、プレミアム機能（月額</t>
    </r>
    <r>
      <rPr>
        <sz val="10"/>
        <color rgb="FF1E293B"/>
        <rFont val="Arial"/>
        <family val="0"/>
        <charset val="1"/>
      </rPr>
      <t xml:space="preserve">¥1,000</t>
    </r>
    <r>
      <rPr>
        <sz val="10"/>
        <color rgb="FF1E293B"/>
        <rFont val="Noto Sans CJK SC"/>
        <family val="2"/>
      </rPr>
      <t xml:space="preserve">）の提供開始により収益を得るようになった</t>
    </r>
  </si>
  <si>
    <t xml:space="preserve">2</t>
  </si>
  <si>
    <r>
      <rPr>
        <sz val="10"/>
        <color rgb="FF1E293B"/>
        <rFont val="Arial"/>
        <family val="0"/>
        <charset val="1"/>
      </rPr>
      <t xml:space="preserve">2026</t>
    </r>
    <r>
      <rPr>
        <sz val="10"/>
        <color rgb="FF1E293B"/>
        <rFont val="Noto Sans CJK SC"/>
        <family val="2"/>
      </rPr>
      <t xml:space="preserve">年</t>
    </r>
    <r>
      <rPr>
        <sz val="10"/>
        <color rgb="FF1E293B"/>
        <rFont val="Arial"/>
        <family val="0"/>
        <charset val="1"/>
      </rPr>
      <t xml:space="preserve">4</t>
    </r>
    <r>
      <rPr>
        <sz val="10"/>
        <color rgb="FF1E293B"/>
        <rFont val="Noto Sans CJK SC"/>
        <family val="2"/>
      </rPr>
      <t xml:space="preserve">月、プレミアム会員数がピークに到達：</t>
    </r>
    <r>
      <rPr>
        <sz val="10"/>
        <color rgb="FF1E293B"/>
        <rFont val="Arial"/>
        <family val="0"/>
        <charset val="1"/>
      </rPr>
      <t xml:space="preserve">5,400</t>
    </r>
    <r>
      <rPr>
        <sz val="10"/>
        <color rgb="FF1E293B"/>
        <rFont val="Noto Sans CJK SC"/>
        <family val="2"/>
      </rPr>
      <t xml:space="preserve">人</t>
    </r>
  </si>
  <si>
    <t xml:space="preserve">3</t>
  </si>
  <si>
    <t xml:space="preserve">創業以来ずっと赤字（月次損益は全期間マイナス）</t>
  </si>
  <si>
    <t xml:space="preserve">4</t>
  </si>
  <si>
    <r>
      <rPr>
        <sz val="10"/>
        <color rgb="FF1E293B"/>
        <rFont val="Noto Sans CJK SC"/>
        <family val="2"/>
      </rPr>
      <t xml:space="preserve">直近</t>
    </r>
    <r>
      <rPr>
        <sz val="10"/>
        <color rgb="FF1E293B"/>
        <rFont val="Arial"/>
        <family val="0"/>
        <charset val="1"/>
      </rPr>
      <t xml:space="preserve">5</t>
    </r>
    <r>
      <rPr>
        <sz val="10"/>
        <color rgb="FF1E293B"/>
        <rFont val="Noto Sans CJK SC"/>
        <family val="2"/>
      </rPr>
      <t xml:space="preserve">か月でプレミアム会員を</t>
    </r>
    <r>
      <rPr>
        <sz val="10"/>
        <color rgb="FF1E293B"/>
        <rFont val="Arial"/>
        <family val="0"/>
        <charset val="1"/>
      </rPr>
      <t xml:space="preserve">900</t>
    </r>
    <r>
      <rPr>
        <sz val="10"/>
        <color rgb="FF1E293B"/>
        <rFont val="Noto Sans CJK SC"/>
        <family val="2"/>
      </rPr>
      <t xml:space="preserve">人以上失った</t>
    </r>
  </si>
  <si>
    <t xml:space="preserve">5</t>
  </si>
  <si>
    <r>
      <rPr>
        <sz val="10"/>
        <color rgb="FF1E293B"/>
        <rFont val="Arial"/>
        <family val="0"/>
        <charset val="1"/>
      </rPr>
      <t xml:space="preserve">2026</t>
    </r>
    <r>
      <rPr>
        <sz val="10"/>
        <color rgb="FF1E293B"/>
        <rFont val="Noto Sans CJK SC"/>
        <family val="2"/>
      </rPr>
      <t xml:space="preserve">年の主目標は黒字化（月次損益をプラスに転換すること）</t>
    </r>
  </si>
  <si>
    <t xml:space="preserve">注：本データはコンテキストエンジニアリングのデモ用に作成した想定値です。</t>
  </si>
</sst>
</file>

<file path=xl/styles.xml><?xml version="1.0" encoding="utf-8"?>
<styleSheet xmlns="http://schemas.openxmlformats.org/spreadsheetml/2006/main">
  <numFmts count="4">
    <numFmt numFmtId="164" formatCode="General"/>
    <numFmt numFmtId="165" formatCode="#,##0;\(#,##0\);\-"/>
    <numFmt numFmtId="166" formatCode="0.0%"/>
    <numFmt numFmtId="167" formatCode="\¥#,##0;&quot;(¥&quot;#,##0\);\-"/>
  </numFmts>
  <fonts count="27">
    <font>
      <sz val="11"/>
      <color theme="1"/>
      <name val="Calibri"/>
      <family val="2"/>
      <charset val="1"/>
    </font>
    <font>
      <sz val="10"/>
      <name val="Arial"/>
      <family val="0"/>
    </font>
    <font>
      <sz val="10"/>
      <name val="Arial"/>
      <family val="0"/>
    </font>
    <font>
      <sz val="10"/>
      <name val="Arial"/>
      <family val="0"/>
    </font>
    <font>
      <b val="true"/>
      <sz val="16"/>
      <color rgb="FF0B3B39"/>
      <name val="Arial"/>
      <family val="0"/>
      <charset val="1"/>
    </font>
    <font>
      <b val="true"/>
      <sz val="16"/>
      <color rgb="FF0B3B39"/>
      <name val="Noto Sans CJK SC"/>
      <family val="2"/>
    </font>
    <font>
      <sz val="9"/>
      <color rgb="FF64748B"/>
      <name val="Noto Sans CJK SC"/>
      <family val="2"/>
    </font>
    <font>
      <sz val="9"/>
      <color rgb="FF64748B"/>
      <name val="Arial"/>
      <family val="0"/>
      <charset val="1"/>
    </font>
    <font>
      <b val="true"/>
      <sz val="9"/>
      <color rgb="FFFFFFFF"/>
      <name val="Noto Sans CJK SC"/>
      <family val="2"/>
    </font>
    <font>
      <b val="true"/>
      <sz val="9"/>
      <color rgb="FFFFFFFF"/>
      <name val="Arial"/>
      <family val="0"/>
      <charset val="1"/>
    </font>
    <font>
      <sz val="9"/>
      <color rgb="FF1E293B"/>
      <name val="Arial"/>
      <family val="0"/>
      <charset val="1"/>
    </font>
    <font>
      <sz val="9"/>
      <color rgb="FF0000FF"/>
      <name val="Arial"/>
      <family val="0"/>
      <charset val="1"/>
    </font>
    <font>
      <b val="true"/>
      <sz val="9"/>
      <color rgb="FF1E293B"/>
      <name val="Arial"/>
      <family val="0"/>
      <charset val="1"/>
    </font>
    <font>
      <sz val="9"/>
      <color rgb="FFB91C1C"/>
      <name val="Arial"/>
      <family val="0"/>
      <charset val="1"/>
    </font>
    <font>
      <i val="true"/>
      <sz val="8"/>
      <color rgb="FF64748B"/>
      <name val="Noto Sans CJK SC"/>
      <family val="2"/>
    </font>
    <font>
      <i val="true"/>
      <sz val="8"/>
      <color rgb="FF64748B"/>
      <name val="Arial"/>
      <family val="0"/>
      <charset val="1"/>
    </font>
    <font>
      <b val="true"/>
      <sz val="18"/>
      <color rgb="FF000000"/>
      <name val="Noto Sans CJK SC"/>
      <family val="2"/>
    </font>
    <font>
      <sz val="10"/>
      <color rgb="FF000000"/>
      <name val="Calibri"/>
      <family val="2"/>
    </font>
    <font>
      <b val="true"/>
      <sz val="10"/>
      <color rgb="FF000000"/>
      <name val="Noto Sans CJK SC"/>
      <family val="2"/>
    </font>
    <font>
      <b val="true"/>
      <sz val="15"/>
      <color rgb="FF0B3B39"/>
      <name val="Noto Sans CJK SC"/>
      <family val="2"/>
    </font>
    <font>
      <b val="true"/>
      <sz val="15"/>
      <color rgb="FF0B3B39"/>
      <name val="Arial"/>
      <family val="0"/>
      <charset val="1"/>
    </font>
    <font>
      <b val="true"/>
      <sz val="10"/>
      <color rgb="FFFFFFFF"/>
      <name val="Arial"/>
      <family val="0"/>
      <charset val="1"/>
    </font>
    <font>
      <b val="true"/>
      <sz val="10"/>
      <color rgb="FFFFFFFF"/>
      <name val="Noto Sans CJK SC"/>
      <family val="2"/>
    </font>
    <font>
      <b val="true"/>
      <sz val="11"/>
      <color rgb="FF0F766E"/>
      <name val="Arial"/>
      <family val="0"/>
      <charset val="1"/>
    </font>
    <font>
      <sz val="10"/>
      <color rgb="FF1E293B"/>
      <name val="Arial"/>
      <family val="0"/>
      <charset val="1"/>
    </font>
    <font>
      <sz val="10"/>
      <color rgb="FF1E293B"/>
      <name val="Noto Sans CJK SC"/>
      <family val="2"/>
    </font>
    <font>
      <b val="true"/>
      <sz val="10"/>
      <color rgb="FF0B3B39"/>
      <name val="Noto Sans CJK SC"/>
      <family val="2"/>
    </font>
  </fonts>
  <fills count="4">
    <fill>
      <patternFill patternType="none"/>
    </fill>
    <fill>
      <patternFill patternType="gray125"/>
    </fill>
    <fill>
      <patternFill patternType="solid">
        <fgColor rgb="FF0F766E"/>
        <bgColor rgb="FF008080"/>
      </patternFill>
    </fill>
    <fill>
      <patternFill patternType="solid">
        <fgColor rgb="FFFEF3C7"/>
        <bgColor rgb="FFFFFF99"/>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right" vertical="center" textRotation="0" wrapText="false" indent="0" shrinkToFit="false"/>
      <protection locked="true" hidden="false"/>
    </xf>
    <xf numFmtId="165" fontId="12" fillId="0" borderId="1" xfId="0" applyFont="true" applyBorder="true" applyAlignment="true" applyProtection="false">
      <alignment horizontal="right" vertical="center" textRotation="0" wrapText="fals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7" fontId="0" fillId="0" borderId="1" xfId="0" applyFont="false" applyBorder="true" applyAlignment="true" applyProtection="false">
      <alignment horizontal="right" vertical="center" textRotation="0" wrapText="false" indent="0" shrinkToFit="false"/>
      <protection locked="true" hidden="false"/>
    </xf>
    <xf numFmtId="167" fontId="11" fillId="0" borderId="1" xfId="0" applyFont="true" applyBorder="true" applyAlignment="true" applyProtection="false">
      <alignment horizontal="right" vertical="center" textRotation="0" wrapText="false" indent="0" shrinkToFit="false"/>
      <protection locked="true" hidden="false"/>
    </xf>
    <xf numFmtId="167" fontId="13" fillId="0" borderId="1" xfId="0" applyFont="true" applyBorder="true" applyAlignment="true" applyProtection="false">
      <alignment horizontal="righ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5" fontId="11" fillId="3" borderId="1" xfId="0" applyFont="true" applyBorder="true" applyAlignment="true" applyProtection="false">
      <alignment horizontal="right" vertical="center" textRotation="0" wrapText="false" indent="0" shrinkToFit="false"/>
      <protection locked="true" hidden="false"/>
    </xf>
    <xf numFmtId="165" fontId="12" fillId="3" borderId="1" xfId="0" applyFont="true" applyBorder="true" applyAlignment="true" applyProtection="false">
      <alignment horizontal="right" vertical="center"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7" fontId="0" fillId="3" borderId="1" xfId="0" applyFont="false" applyBorder="true" applyAlignment="true" applyProtection="false">
      <alignment horizontal="right" vertical="center" textRotation="0" wrapText="false" indent="0" shrinkToFit="false"/>
      <protection locked="true" hidden="false"/>
    </xf>
    <xf numFmtId="167" fontId="11" fillId="3" borderId="1" xfId="0" applyFont="true" applyBorder="true" applyAlignment="true" applyProtection="false">
      <alignment horizontal="right" vertical="center" textRotation="0" wrapText="false" indent="0" shrinkToFit="false"/>
      <protection locked="true" hidden="false"/>
    </xf>
    <xf numFmtId="167" fontId="13" fillId="3" borderId="1" xfId="0" applyFont="true" applyBorder="true" applyAlignment="true" applyProtection="false">
      <alignment horizontal="right"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bottom" textRotation="0" wrapText="false" indent="0" shrinkToFit="false"/>
      <protection locked="true" hidden="false"/>
    </xf>
    <xf numFmtId="164" fontId="22" fillId="2"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general" vertical="center" textRotation="0" wrapText="true" indent="0" shrinkToFit="false"/>
      <protection locked="true" hidden="false"/>
    </xf>
    <xf numFmtId="164" fontId="26" fillId="0" borderId="1" xfId="0" applyFont="true" applyBorder="true" applyAlignment="true" applyProtection="false">
      <alignment horizontal="general" vertical="center" textRotation="0" wrapText="true" indent="0" shrinkToFit="false"/>
      <protection locked="true" hidden="false"/>
    </xf>
    <xf numFmtId="164" fontId="25" fillId="0" borderId="1"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D9D9D9"/>
      <rgbColor rgb="FF878787"/>
      <rgbColor rgb="FF9999FF"/>
      <rgbColor rgb="FF993366"/>
      <rgbColor rgb="FFFEF3C7"/>
      <rgbColor rgb="FFCCFF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B3B39"/>
      <rgbColor rgb="FF339966"/>
      <rgbColor rgb="FF003300"/>
      <rgbColor rgb="FF333300"/>
      <rgbColor rgb="FFB91C1C"/>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プレミアム会員数（月末）の推移</a:t>
            </a:r>
          </a:p>
        </c:rich>
      </c:tx>
      <c:overlay val="0"/>
      <c:spPr>
        <a:noFill/>
        <a:ln w="0">
          <a:noFill/>
        </a:ln>
      </c:spPr>
    </c:title>
    <c:autoTitleDeleted val="0"/>
    <c:plotArea>
      <c:lineChart>
        <c:grouping val="standard"/>
        <c:varyColors val="0"/>
        <c:ser>
          <c:idx val="0"/>
          <c:order val="0"/>
          <c:tx>
            <c:strRef>
              <c:f>月次KPI!F5</c:f>
              <c:strCache>
                <c:ptCount val="1"/>
                <c:pt idx="0">
                  <c:v>プレミアム会員数（月末）</c:v>
                </c:pt>
              </c:strCache>
            </c:strRef>
          </c:tx>
          <c:spPr>
            <a:solidFill>
              <a:srgbClr val="0f766e"/>
            </a:solidFill>
            <a:ln w="28080">
              <a:solidFill>
                <a:srgbClr val="0f766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月次KPI!$A$6:$A$21</c:f>
              <c:strCache>
                <c:ptCount val="16"/>
                <c:pt idx="0">
                  <c:v>2025-06</c:v>
                </c:pt>
                <c:pt idx="1">
                  <c:v>2025-07</c:v>
                </c:pt>
                <c:pt idx="2">
                  <c:v>2025-08</c:v>
                </c:pt>
                <c:pt idx="3">
                  <c:v>2025-09</c:v>
                </c:pt>
                <c:pt idx="4">
                  <c:v>2025-10</c:v>
                </c:pt>
                <c:pt idx="5">
                  <c:v>2025-11</c:v>
                </c:pt>
                <c:pt idx="6">
                  <c:v>2025-12</c:v>
                </c:pt>
                <c:pt idx="7">
                  <c:v>2026-01</c:v>
                </c:pt>
                <c:pt idx="8">
                  <c:v>2026-02</c:v>
                </c:pt>
                <c:pt idx="9">
                  <c:v>2026-03</c:v>
                </c:pt>
                <c:pt idx="10">
                  <c:v>2026-04</c:v>
                </c:pt>
                <c:pt idx="11">
                  <c:v>2026-05</c:v>
                </c:pt>
                <c:pt idx="12">
                  <c:v>2026-06</c:v>
                </c:pt>
                <c:pt idx="13">
                  <c:v>2026-07</c:v>
                </c:pt>
                <c:pt idx="14">
                  <c:v>2026-08</c:v>
                </c:pt>
                <c:pt idx="15">
                  <c:v>2026-09</c:v>
                </c:pt>
              </c:strCache>
            </c:strRef>
          </c:cat>
          <c:val>
            <c:numRef>
              <c:f>月次KPI!$F$6:$F$21</c:f>
              <c:numCache>
                <c:formatCode>#,##0;\(#,##0\);\-</c:formatCode>
                <c:ptCount val="16"/>
                <c:pt idx="0">
                  <c:v>0</c:v>
                </c:pt>
                <c:pt idx="1">
                  <c:v>0</c:v>
                </c:pt>
                <c:pt idx="2">
                  <c:v>0</c:v>
                </c:pt>
                <c:pt idx="3">
                  <c:v>0</c:v>
                </c:pt>
                <c:pt idx="4">
                  <c:v>0</c:v>
                </c:pt>
                <c:pt idx="5">
                  <c:v>0</c:v>
                </c:pt>
                <c:pt idx="6">
                  <c:v>0</c:v>
                </c:pt>
                <c:pt idx="7">
                  <c:v>1700</c:v>
                </c:pt>
                <c:pt idx="8">
                  <c:v>3200</c:v>
                </c:pt>
                <c:pt idx="9">
                  <c:v>4600</c:v>
                </c:pt>
                <c:pt idx="10">
                  <c:v>5400</c:v>
                </c:pt>
                <c:pt idx="11">
                  <c:v>5250</c:v>
                </c:pt>
                <c:pt idx="12">
                  <c:v>5050</c:v>
                </c:pt>
                <c:pt idx="13">
                  <c:v>4850</c:v>
                </c:pt>
                <c:pt idx="14">
                  <c:v>4650</c:v>
                </c:pt>
                <c:pt idx="15">
                  <c:v>4480</c:v>
                </c:pt>
              </c:numCache>
            </c:numRef>
          </c:val>
          <c:smooth val="1"/>
        </c:ser>
        <c:hiLowLines>
          <c:spPr>
            <a:ln w="0">
              <a:noFill/>
            </a:ln>
          </c:spPr>
        </c:hiLowLines>
        <c:marker val="0"/>
        <c:axId val="60821108"/>
        <c:axId val="52671151"/>
      </c:lineChart>
      <c:catAx>
        <c:axId val="6082110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年月</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671151"/>
        <c:crosses val="autoZero"/>
        <c:auto val="1"/>
        <c:lblAlgn val="ctr"/>
        <c:lblOffset val="100"/>
        <c:noMultiLvlLbl val="0"/>
      </c:catAx>
      <c:valAx>
        <c:axId val="526711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会員数（人）</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8211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月次損益（創業以来ずっと赤字）</a:t>
            </a:r>
          </a:p>
        </c:rich>
      </c:tx>
      <c:overlay val="0"/>
      <c:spPr>
        <a:noFill/>
        <a:ln w="0">
          <a:noFill/>
        </a:ln>
      </c:spPr>
    </c:title>
    <c:autoTitleDeleted val="0"/>
    <c:plotArea>
      <c:barChart>
        <c:barDir val="col"/>
        <c:grouping val="clustered"/>
        <c:varyColors val="0"/>
        <c:ser>
          <c:idx val="0"/>
          <c:order val="0"/>
          <c:tx>
            <c:strRef>
              <c:f>月次KPI!K5</c:f>
              <c:strCache>
                <c:ptCount val="1"/>
                <c:pt idx="0">
                  <c:v>月次損益</c:v>
                </c:pt>
              </c:strCache>
            </c:strRef>
          </c:tx>
          <c:spPr>
            <a:solidFill>
              <a:srgbClr val="b91c1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月次KPI!$A$6:$A$21</c:f>
              <c:strCache>
                <c:ptCount val="16"/>
                <c:pt idx="0">
                  <c:v>2025-06</c:v>
                </c:pt>
                <c:pt idx="1">
                  <c:v>2025-07</c:v>
                </c:pt>
                <c:pt idx="2">
                  <c:v>2025-08</c:v>
                </c:pt>
                <c:pt idx="3">
                  <c:v>2025-09</c:v>
                </c:pt>
                <c:pt idx="4">
                  <c:v>2025-10</c:v>
                </c:pt>
                <c:pt idx="5">
                  <c:v>2025-11</c:v>
                </c:pt>
                <c:pt idx="6">
                  <c:v>2025-12</c:v>
                </c:pt>
                <c:pt idx="7">
                  <c:v>2026-01</c:v>
                </c:pt>
                <c:pt idx="8">
                  <c:v>2026-02</c:v>
                </c:pt>
                <c:pt idx="9">
                  <c:v>2026-03</c:v>
                </c:pt>
                <c:pt idx="10">
                  <c:v>2026-04</c:v>
                </c:pt>
                <c:pt idx="11">
                  <c:v>2026-05</c:v>
                </c:pt>
                <c:pt idx="12">
                  <c:v>2026-06</c:v>
                </c:pt>
                <c:pt idx="13">
                  <c:v>2026-07</c:v>
                </c:pt>
                <c:pt idx="14">
                  <c:v>2026-08</c:v>
                </c:pt>
                <c:pt idx="15">
                  <c:v>2026-09</c:v>
                </c:pt>
              </c:strCache>
            </c:strRef>
          </c:cat>
          <c:val>
            <c:numRef>
              <c:f>月次KPI!$K$6:$K$21</c:f>
              <c:numCache>
                <c:formatCode>\¥#,##0;"(¥"#,##0\);\-</c:formatCode>
                <c:ptCount val="16"/>
                <c:pt idx="0">
                  <c:v>-8500000</c:v>
                </c:pt>
                <c:pt idx="1">
                  <c:v>-8600000</c:v>
                </c:pt>
                <c:pt idx="2">
                  <c:v>-8800000</c:v>
                </c:pt>
                <c:pt idx="3">
                  <c:v>-9000000</c:v>
                </c:pt>
                <c:pt idx="4">
                  <c:v>-9100000</c:v>
                </c:pt>
                <c:pt idx="5">
                  <c:v>-9200000</c:v>
                </c:pt>
                <c:pt idx="6">
                  <c:v>-9300000</c:v>
                </c:pt>
                <c:pt idx="7">
                  <c:v>-8310000</c:v>
                </c:pt>
                <c:pt idx="8">
                  <c:v>-7360000</c:v>
                </c:pt>
                <c:pt idx="9">
                  <c:v>-6480000</c:v>
                </c:pt>
                <c:pt idx="10">
                  <c:v>-6020000</c:v>
                </c:pt>
                <c:pt idx="11">
                  <c:v>-6125000</c:v>
                </c:pt>
                <c:pt idx="12">
                  <c:v>-6165000</c:v>
                </c:pt>
                <c:pt idx="13">
                  <c:v>-6305000</c:v>
                </c:pt>
                <c:pt idx="14">
                  <c:v>-6345000</c:v>
                </c:pt>
                <c:pt idx="15">
                  <c:v>-6464000</c:v>
                </c:pt>
              </c:numCache>
            </c:numRef>
          </c:val>
        </c:ser>
        <c:gapWidth val="150"/>
        <c:overlap val="0"/>
        <c:axId val="41713773"/>
        <c:axId val="4543672"/>
      </c:barChart>
      <c:catAx>
        <c:axId val="4171377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年月</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43672"/>
        <c:crosses val="autoZero"/>
        <c:auto val="1"/>
        <c:lblAlgn val="ctr"/>
        <c:lblOffset val="100"/>
        <c:noMultiLvlLbl val="0"/>
      </c:catAx>
      <c:valAx>
        <c:axId val="45436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7137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137160</xdr:rowOff>
    </xdr:from>
    <xdr:to>
      <xdr:col>7</xdr:col>
      <xdr:colOff>699840</xdr:colOff>
      <xdr:row>36</xdr:row>
      <xdr:rowOff>159120</xdr:rowOff>
    </xdr:to>
    <xdr:graphicFrame>
      <xdr:nvGraphicFramePr>
        <xdr:cNvPr id="0" name="Chart 1"/>
        <xdr:cNvGraphicFramePr/>
      </xdr:nvGraphicFramePr>
      <xdr:xfrm>
        <a:off x="0" y="47242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21</xdr:row>
      <xdr:rowOff>137160</xdr:rowOff>
    </xdr:from>
    <xdr:to>
      <xdr:col>16</xdr:col>
      <xdr:colOff>275040</xdr:colOff>
      <xdr:row>36</xdr:row>
      <xdr:rowOff>159120</xdr:rowOff>
    </xdr:to>
    <xdr:graphicFrame>
      <xdr:nvGraphicFramePr>
        <xdr:cNvPr id="1" name="Chart 2"/>
        <xdr:cNvGraphicFramePr/>
      </xdr:nvGraphicFramePr>
      <xdr:xfrm>
        <a:off x="8881200" y="472428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11"/>
    <col collapsed="false" customWidth="true" hidden="false" outlineLevel="0" max="5" min="4" style="0" width="12"/>
    <col collapsed="false" customWidth="true" hidden="false" outlineLevel="0" max="6" min="6" style="0" width="14"/>
    <col collapsed="false" customWidth="true" hidden="false" outlineLevel="0" max="7" min="7" style="0" width="9"/>
    <col collapsed="false" customWidth="true" hidden="false" outlineLevel="0" max="8" min="8" style="0" width="15"/>
    <col collapsed="false" customWidth="true" hidden="false" outlineLevel="0" max="9" min="9" style="0" width="16"/>
    <col collapsed="false" customWidth="true" hidden="false" outlineLevel="0" max="11" min="10" style="0" width="13"/>
    <col collapsed="false" customWidth="true" hidden="false" outlineLevel="0" max="12" min="12" style="0" width="15"/>
    <col collapsed="false" customWidth="true" hidden="false" outlineLevel="0" max="13" min="13" style="0" width="34"/>
  </cols>
  <sheetData>
    <row r="1" customFormat="false" ht="23.8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42" hidden="false" customHeight="true" outlineLevel="0" collapsed="false">
      <c r="A5" s="3" t="s">
        <v>3</v>
      </c>
      <c r="B5" s="4" t="s">
        <v>4</v>
      </c>
      <c r="C5" s="3" t="s">
        <v>5</v>
      </c>
      <c r="D5" s="3" t="s">
        <v>6</v>
      </c>
      <c r="E5" s="3" t="s">
        <v>7</v>
      </c>
      <c r="F5" s="3" t="s">
        <v>8</v>
      </c>
      <c r="G5" s="3" t="s">
        <v>9</v>
      </c>
      <c r="H5" s="3" t="s">
        <v>10</v>
      </c>
      <c r="I5" s="3" t="s">
        <v>11</v>
      </c>
      <c r="J5" s="3" t="s">
        <v>12</v>
      </c>
      <c r="K5" s="3" t="s">
        <v>13</v>
      </c>
      <c r="L5" s="3" t="s">
        <v>14</v>
      </c>
      <c r="M5" s="3" t="s">
        <v>15</v>
      </c>
    </row>
    <row r="6" customFormat="false" ht="15" hidden="false" customHeight="false" outlineLevel="0" collapsed="false">
      <c r="A6" s="5" t="s">
        <v>16</v>
      </c>
      <c r="B6" s="6" t="n">
        <v>12000</v>
      </c>
      <c r="C6" s="6" t="n">
        <v>25000</v>
      </c>
      <c r="D6" s="6" t="n">
        <v>0</v>
      </c>
      <c r="E6" s="6" t="n">
        <v>0</v>
      </c>
      <c r="F6" s="7" t="n">
        <f aca="false">D6-E6</f>
        <v>0</v>
      </c>
      <c r="G6" s="8" t="n">
        <f aca="false">IF(B6=0,0,F6/B6)</f>
        <v>0</v>
      </c>
      <c r="H6" s="9" t="n">
        <f aca="false">F6*1000</f>
        <v>0</v>
      </c>
      <c r="I6" s="9" t="n">
        <f aca="false">ROUND(H6*0.7,0)</f>
        <v>0</v>
      </c>
      <c r="J6" s="10" t="n">
        <v>8500000</v>
      </c>
      <c r="K6" s="11" t="n">
        <f aca="false">I6-J6</f>
        <v>-8500000</v>
      </c>
      <c r="L6" s="11" t="n">
        <f aca="false">K6</f>
        <v>-8500000</v>
      </c>
      <c r="M6" s="12" t="s">
        <v>17</v>
      </c>
    </row>
    <row r="7" customFormat="false" ht="15" hidden="false" customHeight="false" outlineLevel="0" collapsed="false">
      <c r="A7" s="5" t="s">
        <v>18</v>
      </c>
      <c r="B7" s="6" t="n">
        <v>28000</v>
      </c>
      <c r="C7" s="6" t="n">
        <v>60000</v>
      </c>
      <c r="D7" s="6" t="n">
        <v>0</v>
      </c>
      <c r="E7" s="6" t="n">
        <v>0</v>
      </c>
      <c r="F7" s="7" t="n">
        <f aca="false">F6+D7-E7</f>
        <v>0</v>
      </c>
      <c r="G7" s="8" t="n">
        <f aca="false">IF(B7=0,0,F7/B7)</f>
        <v>0</v>
      </c>
      <c r="H7" s="9" t="n">
        <f aca="false">F7*1000</f>
        <v>0</v>
      </c>
      <c r="I7" s="9" t="n">
        <f aca="false">ROUND(H7*0.7,0)</f>
        <v>0</v>
      </c>
      <c r="J7" s="10" t="n">
        <v>8600000</v>
      </c>
      <c r="K7" s="11" t="n">
        <f aca="false">I7-J7</f>
        <v>-8600000</v>
      </c>
      <c r="L7" s="11" t="n">
        <f aca="false">L6+K7</f>
        <v>-17100000</v>
      </c>
      <c r="M7" s="12"/>
    </row>
    <row r="8" customFormat="false" ht="15" hidden="false" customHeight="false" outlineLevel="0" collapsed="false">
      <c r="A8" s="5" t="s">
        <v>19</v>
      </c>
      <c r="B8" s="6" t="n">
        <v>45000</v>
      </c>
      <c r="C8" s="6" t="n">
        <v>100000</v>
      </c>
      <c r="D8" s="6" t="n">
        <v>0</v>
      </c>
      <c r="E8" s="6" t="n">
        <v>0</v>
      </c>
      <c r="F8" s="7" t="n">
        <f aca="false">F7+D8-E8</f>
        <v>0</v>
      </c>
      <c r="G8" s="8" t="n">
        <f aca="false">IF(B8=0,0,F8/B8)</f>
        <v>0</v>
      </c>
      <c r="H8" s="9" t="n">
        <f aca="false">F8*1000</f>
        <v>0</v>
      </c>
      <c r="I8" s="9" t="n">
        <f aca="false">ROUND(H8*0.7,0)</f>
        <v>0</v>
      </c>
      <c r="J8" s="10" t="n">
        <v>8800000</v>
      </c>
      <c r="K8" s="11" t="n">
        <f aca="false">I8-J8</f>
        <v>-8800000</v>
      </c>
      <c r="L8" s="11" t="n">
        <f aca="false">L7+K8</f>
        <v>-25900000</v>
      </c>
      <c r="M8" s="12"/>
    </row>
    <row r="9" customFormat="false" ht="15" hidden="false" customHeight="false" outlineLevel="0" collapsed="false">
      <c r="A9" s="5" t="s">
        <v>20</v>
      </c>
      <c r="B9" s="6" t="n">
        <v>62000</v>
      </c>
      <c r="C9" s="6" t="n">
        <v>145000</v>
      </c>
      <c r="D9" s="6" t="n">
        <v>0</v>
      </c>
      <c r="E9" s="6" t="n">
        <v>0</v>
      </c>
      <c r="F9" s="7" t="n">
        <f aca="false">F8+D9-E9</f>
        <v>0</v>
      </c>
      <c r="G9" s="8" t="n">
        <f aca="false">IF(B9=0,0,F9/B9)</f>
        <v>0</v>
      </c>
      <c r="H9" s="9" t="n">
        <f aca="false">F9*1000</f>
        <v>0</v>
      </c>
      <c r="I9" s="9" t="n">
        <f aca="false">ROUND(H9*0.7,0)</f>
        <v>0</v>
      </c>
      <c r="J9" s="10" t="n">
        <v>9000000</v>
      </c>
      <c r="K9" s="11" t="n">
        <f aca="false">I9-J9</f>
        <v>-9000000</v>
      </c>
      <c r="L9" s="11" t="n">
        <f aca="false">L8+K9</f>
        <v>-34900000</v>
      </c>
      <c r="M9" s="12"/>
    </row>
    <row r="10" customFormat="false" ht="15" hidden="false" customHeight="false" outlineLevel="0" collapsed="false">
      <c r="A10" s="5" t="s">
        <v>21</v>
      </c>
      <c r="B10" s="6" t="n">
        <v>78000</v>
      </c>
      <c r="C10" s="6" t="n">
        <v>195000</v>
      </c>
      <c r="D10" s="6" t="n">
        <v>0</v>
      </c>
      <c r="E10" s="6" t="n">
        <v>0</v>
      </c>
      <c r="F10" s="7" t="n">
        <f aca="false">F9+D10-E10</f>
        <v>0</v>
      </c>
      <c r="G10" s="8" t="n">
        <f aca="false">IF(B10=0,0,F10/B10)</f>
        <v>0</v>
      </c>
      <c r="H10" s="9" t="n">
        <f aca="false">F10*1000</f>
        <v>0</v>
      </c>
      <c r="I10" s="9" t="n">
        <f aca="false">ROUND(H10*0.7,0)</f>
        <v>0</v>
      </c>
      <c r="J10" s="10" t="n">
        <v>9100000</v>
      </c>
      <c r="K10" s="11" t="n">
        <f aca="false">I10-J10</f>
        <v>-9100000</v>
      </c>
      <c r="L10" s="11" t="n">
        <f aca="false">L9+K10</f>
        <v>-44000000</v>
      </c>
      <c r="M10" s="12"/>
    </row>
    <row r="11" customFormat="false" ht="15" hidden="false" customHeight="false" outlineLevel="0" collapsed="false">
      <c r="A11" s="5" t="s">
        <v>22</v>
      </c>
      <c r="B11" s="6" t="n">
        <v>95000</v>
      </c>
      <c r="C11" s="6" t="n">
        <v>255000</v>
      </c>
      <c r="D11" s="6" t="n">
        <v>0</v>
      </c>
      <c r="E11" s="6" t="n">
        <v>0</v>
      </c>
      <c r="F11" s="7" t="n">
        <f aca="false">F10+D11-E11</f>
        <v>0</v>
      </c>
      <c r="G11" s="8" t="n">
        <f aca="false">IF(B11=0,0,F11/B11)</f>
        <v>0</v>
      </c>
      <c r="H11" s="9" t="n">
        <f aca="false">F11*1000</f>
        <v>0</v>
      </c>
      <c r="I11" s="9" t="n">
        <f aca="false">ROUND(H11*0.7,0)</f>
        <v>0</v>
      </c>
      <c r="J11" s="10" t="n">
        <v>9200000</v>
      </c>
      <c r="K11" s="11" t="n">
        <f aca="false">I11-J11</f>
        <v>-9200000</v>
      </c>
      <c r="L11" s="11" t="n">
        <f aca="false">L10+K11</f>
        <v>-53200000</v>
      </c>
      <c r="M11" s="12"/>
    </row>
    <row r="12" customFormat="false" ht="15" hidden="false" customHeight="false" outlineLevel="0" collapsed="false">
      <c r="A12" s="5" t="s">
        <v>23</v>
      </c>
      <c r="B12" s="6" t="n">
        <v>112000</v>
      </c>
      <c r="C12" s="6" t="n">
        <v>320000</v>
      </c>
      <c r="D12" s="6" t="n">
        <v>0</v>
      </c>
      <c r="E12" s="6" t="n">
        <v>0</v>
      </c>
      <c r="F12" s="7" t="n">
        <f aca="false">F11+D12-E12</f>
        <v>0</v>
      </c>
      <c r="G12" s="8" t="n">
        <f aca="false">IF(B12=0,0,F12/B12)</f>
        <v>0</v>
      </c>
      <c r="H12" s="9" t="n">
        <f aca="false">F12*1000</f>
        <v>0</v>
      </c>
      <c r="I12" s="9" t="n">
        <f aca="false">ROUND(H12*0.7,0)</f>
        <v>0</v>
      </c>
      <c r="J12" s="10" t="n">
        <v>9300000</v>
      </c>
      <c r="K12" s="11" t="n">
        <f aca="false">I12-J12</f>
        <v>-9300000</v>
      </c>
      <c r="L12" s="11" t="n">
        <f aca="false">L11+K12</f>
        <v>-62500000</v>
      </c>
      <c r="M12" s="12" t="s">
        <v>24</v>
      </c>
    </row>
    <row r="13" customFormat="false" ht="25.35" hidden="false" customHeight="false" outlineLevel="0" collapsed="false">
      <c r="A13" s="5" t="s">
        <v>25</v>
      </c>
      <c r="B13" s="6" t="n">
        <v>130000</v>
      </c>
      <c r="C13" s="6" t="n">
        <v>380000</v>
      </c>
      <c r="D13" s="6" t="n">
        <v>1700</v>
      </c>
      <c r="E13" s="6" t="n">
        <v>0</v>
      </c>
      <c r="F13" s="7" t="n">
        <f aca="false">F12+D13-E13</f>
        <v>1700</v>
      </c>
      <c r="G13" s="8" t="n">
        <f aca="false">IF(B13=0,0,F13/B13)</f>
        <v>0.0130769230769231</v>
      </c>
      <c r="H13" s="9" t="n">
        <f aca="false">F13*1000</f>
        <v>1700000</v>
      </c>
      <c r="I13" s="9" t="n">
        <f aca="false">ROUND(H13*0.7,0)</f>
        <v>1190000</v>
      </c>
      <c r="J13" s="10" t="n">
        <v>9500000</v>
      </c>
      <c r="K13" s="11" t="n">
        <f aca="false">I13-J13</f>
        <v>-8310000</v>
      </c>
      <c r="L13" s="11" t="n">
        <f aca="false">L12+K13</f>
        <v>-70810000</v>
      </c>
      <c r="M13" s="12" t="s">
        <v>26</v>
      </c>
    </row>
    <row r="14" customFormat="false" ht="15" hidden="false" customHeight="false" outlineLevel="0" collapsed="false">
      <c r="A14" s="5" t="s">
        <v>27</v>
      </c>
      <c r="B14" s="6" t="n">
        <v>150000</v>
      </c>
      <c r="C14" s="6" t="n">
        <v>425000</v>
      </c>
      <c r="D14" s="6" t="n">
        <v>1700</v>
      </c>
      <c r="E14" s="6" t="n">
        <v>200</v>
      </c>
      <c r="F14" s="7" t="n">
        <f aca="false">F13+D14-E14</f>
        <v>3200</v>
      </c>
      <c r="G14" s="8" t="n">
        <f aca="false">IF(B14=0,0,F14/B14)</f>
        <v>0.0213333333333333</v>
      </c>
      <c r="H14" s="9" t="n">
        <f aca="false">F14*1000</f>
        <v>3200000</v>
      </c>
      <c r="I14" s="9" t="n">
        <f aca="false">ROUND(H14*0.7,0)</f>
        <v>2240000</v>
      </c>
      <c r="J14" s="10" t="n">
        <v>9600000</v>
      </c>
      <c r="K14" s="11" t="n">
        <f aca="false">I14-J14</f>
        <v>-7360000</v>
      </c>
      <c r="L14" s="11" t="n">
        <f aca="false">L13+K14</f>
        <v>-78170000</v>
      </c>
      <c r="M14" s="12"/>
    </row>
    <row r="15" customFormat="false" ht="15" hidden="false" customHeight="false" outlineLevel="0" collapsed="false">
      <c r="A15" s="5" t="s">
        <v>28</v>
      </c>
      <c r="B15" s="6" t="n">
        <v>168000</v>
      </c>
      <c r="C15" s="6" t="n">
        <v>462000</v>
      </c>
      <c r="D15" s="6" t="n">
        <v>1650</v>
      </c>
      <c r="E15" s="6" t="n">
        <v>250</v>
      </c>
      <c r="F15" s="7" t="n">
        <f aca="false">F14+D15-E15</f>
        <v>4600</v>
      </c>
      <c r="G15" s="8" t="n">
        <f aca="false">IF(B15=0,0,F15/B15)</f>
        <v>0.0273809523809524</v>
      </c>
      <c r="H15" s="9" t="n">
        <f aca="false">F15*1000</f>
        <v>4600000</v>
      </c>
      <c r="I15" s="9" t="n">
        <f aca="false">ROUND(H15*0.7,0)</f>
        <v>3220000</v>
      </c>
      <c r="J15" s="10" t="n">
        <v>9700000</v>
      </c>
      <c r="K15" s="11" t="n">
        <f aca="false">I15-J15</f>
        <v>-6480000</v>
      </c>
      <c r="L15" s="11" t="n">
        <f aca="false">L14+K15</f>
        <v>-84650000</v>
      </c>
      <c r="M15" s="12"/>
    </row>
    <row r="16" customFormat="false" ht="15" hidden="false" customHeight="false" outlineLevel="0" collapsed="false">
      <c r="A16" s="13" t="s">
        <v>29</v>
      </c>
      <c r="B16" s="14" t="n">
        <v>182000</v>
      </c>
      <c r="C16" s="14" t="n">
        <v>495000</v>
      </c>
      <c r="D16" s="14" t="n">
        <v>1150</v>
      </c>
      <c r="E16" s="14" t="n">
        <v>350</v>
      </c>
      <c r="F16" s="15" t="n">
        <f aca="false">F15+D16-E16</f>
        <v>5400</v>
      </c>
      <c r="G16" s="16" t="n">
        <f aca="false">IF(B16=0,0,F16/B16)</f>
        <v>0.0296703296703297</v>
      </c>
      <c r="H16" s="17" t="n">
        <f aca="false">F16*1000</f>
        <v>5400000</v>
      </c>
      <c r="I16" s="17" t="n">
        <f aca="false">ROUND(H16*0.7,0)</f>
        <v>3780000</v>
      </c>
      <c r="J16" s="18" t="n">
        <v>9800000</v>
      </c>
      <c r="K16" s="19" t="n">
        <f aca="false">I16-J16</f>
        <v>-6020000</v>
      </c>
      <c r="L16" s="19" t="n">
        <f aca="false">L15+K16</f>
        <v>-90670000</v>
      </c>
      <c r="M16" s="20" t="s">
        <v>30</v>
      </c>
    </row>
    <row r="17" customFormat="false" ht="15" hidden="false" customHeight="false" outlineLevel="0" collapsed="false">
      <c r="A17" s="5" t="s">
        <v>31</v>
      </c>
      <c r="B17" s="6" t="n">
        <v>180000</v>
      </c>
      <c r="C17" s="6" t="n">
        <v>520000</v>
      </c>
      <c r="D17" s="6" t="n">
        <v>450</v>
      </c>
      <c r="E17" s="6" t="n">
        <v>600</v>
      </c>
      <c r="F17" s="7" t="n">
        <f aca="false">F16+D17-E17</f>
        <v>5250</v>
      </c>
      <c r="G17" s="8" t="n">
        <f aca="false">IF(B17=0,0,F17/B17)</f>
        <v>0.0291666666666667</v>
      </c>
      <c r="H17" s="9" t="n">
        <f aca="false">F17*1000</f>
        <v>5250000</v>
      </c>
      <c r="I17" s="9" t="n">
        <f aca="false">ROUND(H17*0.7,0)</f>
        <v>3675000</v>
      </c>
      <c r="J17" s="10" t="n">
        <v>9800000</v>
      </c>
      <c r="K17" s="11" t="n">
        <f aca="false">I17-J17</f>
        <v>-6125000</v>
      </c>
      <c r="L17" s="11" t="n">
        <f aca="false">L16+K17</f>
        <v>-96795000</v>
      </c>
      <c r="M17" s="12" t="s">
        <v>32</v>
      </c>
    </row>
    <row r="18" customFormat="false" ht="15" hidden="false" customHeight="false" outlineLevel="0" collapsed="false">
      <c r="A18" s="5" t="s">
        <v>33</v>
      </c>
      <c r="B18" s="6" t="n">
        <v>176000</v>
      </c>
      <c r="C18" s="6" t="n">
        <v>542000</v>
      </c>
      <c r="D18" s="6" t="n">
        <v>400</v>
      </c>
      <c r="E18" s="6" t="n">
        <v>600</v>
      </c>
      <c r="F18" s="7" t="n">
        <f aca="false">F17+D18-E18</f>
        <v>5050</v>
      </c>
      <c r="G18" s="8" t="n">
        <f aca="false">IF(B18=0,0,F18/B18)</f>
        <v>0.0286931818181818</v>
      </c>
      <c r="H18" s="9" t="n">
        <f aca="false">F18*1000</f>
        <v>5050000</v>
      </c>
      <c r="I18" s="9" t="n">
        <f aca="false">ROUND(H18*0.7,0)</f>
        <v>3535000</v>
      </c>
      <c r="J18" s="10" t="n">
        <v>9700000</v>
      </c>
      <c r="K18" s="11" t="n">
        <f aca="false">I18-J18</f>
        <v>-6165000</v>
      </c>
      <c r="L18" s="11" t="n">
        <f aca="false">L17+K18</f>
        <v>-102960000</v>
      </c>
      <c r="M18" s="12"/>
    </row>
    <row r="19" customFormat="false" ht="15" hidden="false" customHeight="false" outlineLevel="0" collapsed="false">
      <c r="A19" s="5" t="s">
        <v>34</v>
      </c>
      <c r="B19" s="6" t="n">
        <v>171000</v>
      </c>
      <c r="C19" s="6" t="n">
        <v>561000</v>
      </c>
      <c r="D19" s="6" t="n">
        <v>380</v>
      </c>
      <c r="E19" s="6" t="n">
        <v>580</v>
      </c>
      <c r="F19" s="7" t="n">
        <f aca="false">F18+D19-E19</f>
        <v>4850</v>
      </c>
      <c r="G19" s="8" t="n">
        <f aca="false">IF(B19=0,0,F19/B19)</f>
        <v>0.0283625730994152</v>
      </c>
      <c r="H19" s="9" t="n">
        <f aca="false">F19*1000</f>
        <v>4850000</v>
      </c>
      <c r="I19" s="9" t="n">
        <f aca="false">ROUND(H19*0.7,0)</f>
        <v>3395000</v>
      </c>
      <c r="J19" s="10" t="n">
        <v>9700000</v>
      </c>
      <c r="K19" s="11" t="n">
        <f aca="false">I19-J19</f>
        <v>-6305000</v>
      </c>
      <c r="L19" s="11" t="n">
        <f aca="false">L18+K19</f>
        <v>-109265000</v>
      </c>
      <c r="M19" s="12"/>
    </row>
    <row r="20" customFormat="false" ht="15" hidden="false" customHeight="false" outlineLevel="0" collapsed="false">
      <c r="A20" s="5" t="s">
        <v>35</v>
      </c>
      <c r="B20" s="6" t="n">
        <v>167000</v>
      </c>
      <c r="C20" s="6" t="n">
        <v>578000</v>
      </c>
      <c r="D20" s="6" t="n">
        <v>360</v>
      </c>
      <c r="E20" s="6" t="n">
        <v>560</v>
      </c>
      <c r="F20" s="7" t="n">
        <f aca="false">F19+D20-E20</f>
        <v>4650</v>
      </c>
      <c r="G20" s="8" t="n">
        <f aca="false">IF(B20=0,0,F20/B20)</f>
        <v>0.0278443113772455</v>
      </c>
      <c r="H20" s="9" t="n">
        <f aca="false">F20*1000</f>
        <v>4650000</v>
      </c>
      <c r="I20" s="9" t="n">
        <f aca="false">ROUND(H20*0.7,0)</f>
        <v>3255000</v>
      </c>
      <c r="J20" s="10" t="n">
        <v>9600000</v>
      </c>
      <c r="K20" s="11" t="n">
        <f aca="false">I20-J20</f>
        <v>-6345000</v>
      </c>
      <c r="L20" s="11" t="n">
        <f aca="false">L19+K20</f>
        <v>-115610000</v>
      </c>
      <c r="M20" s="12"/>
    </row>
    <row r="21" customFormat="false" ht="15" hidden="false" customHeight="false" outlineLevel="0" collapsed="false">
      <c r="A21" s="5" t="s">
        <v>36</v>
      </c>
      <c r="B21" s="6" t="n">
        <v>163000</v>
      </c>
      <c r="C21" s="6" t="n">
        <v>593000</v>
      </c>
      <c r="D21" s="6" t="n">
        <v>350</v>
      </c>
      <c r="E21" s="6" t="n">
        <v>520</v>
      </c>
      <c r="F21" s="7" t="n">
        <f aca="false">F20+D21-E21</f>
        <v>4480</v>
      </c>
      <c r="G21" s="8" t="n">
        <f aca="false">IF(B21=0,0,F21/B21)</f>
        <v>0.0274846625766871</v>
      </c>
      <c r="H21" s="9" t="n">
        <f aca="false">F21*1000</f>
        <v>4480000</v>
      </c>
      <c r="I21" s="9" t="n">
        <f aca="false">ROUND(H21*0.7,0)</f>
        <v>3136000</v>
      </c>
      <c r="J21" s="10" t="n">
        <v>9600000</v>
      </c>
      <c r="K21" s="11" t="n">
        <f aca="false">I21-J21</f>
        <v>-6464000</v>
      </c>
      <c r="L21" s="11" t="n">
        <f aca="false">L20+K21</f>
        <v>-122074000</v>
      </c>
      <c r="M21" s="12" t="s">
        <v>37</v>
      </c>
    </row>
  </sheetData>
  <printOptions headings="false" gridLines="false" gridLinesSet="true" horizontalCentered="false" verticalCentered="false"/>
  <pageMargins left="0.3" right="0.3"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3" min="3" style="0" width="34"/>
  </cols>
  <sheetData>
    <row r="1" customFormat="false" ht="23.1" hidden="false" customHeight="false" outlineLevel="0" collapsed="false">
      <c r="A1" s="21" t="s">
        <v>38</v>
      </c>
    </row>
    <row r="3" customFormat="false" ht="15" hidden="false" customHeight="false" outlineLevel="0" collapsed="false">
      <c r="A3" s="22" t="s">
        <v>39</v>
      </c>
      <c r="B3" s="23" t="s">
        <v>40</v>
      </c>
      <c r="C3" s="23" t="s">
        <v>41</v>
      </c>
    </row>
    <row r="4" customFormat="false" ht="37.5" hidden="false" customHeight="true" outlineLevel="0" collapsed="false">
      <c r="A4" s="24" t="s">
        <v>42</v>
      </c>
      <c r="B4" s="25" t="s">
        <v>43</v>
      </c>
      <c r="C4" s="26" t="str">
        <f aca="false">"純売上 2026年1月：¥"&amp;TEXT(月次KPI!I13,"#,##0")&amp;"（前月まで¥0）"</f>
        <v>純売上 2026年1月：¥1,190,000（前月まで¥0）</v>
      </c>
    </row>
    <row r="5" customFormat="false" ht="37.5" hidden="false" customHeight="true" outlineLevel="0" collapsed="false">
      <c r="A5" s="24" t="s">
        <v>44</v>
      </c>
      <c r="B5" s="25" t="s">
        <v>45</v>
      </c>
      <c r="C5" s="26" t="str">
        <f aca="false">"月末会員数 2026年4月："&amp;TEXT(月次KPI!F16,"#,##0")&amp;" 人"</f>
        <v>月末会員数 2026年4月：5,400 人</v>
      </c>
    </row>
    <row r="6" customFormat="false" ht="37.5" hidden="false" customHeight="true" outlineLevel="0" collapsed="false">
      <c r="A6" s="24" t="s">
        <v>46</v>
      </c>
      <c r="B6" s="27" t="s">
        <v>47</v>
      </c>
      <c r="C6" s="26" t="str">
        <f aca="false">"累計損益 最新月：¥"&amp;TEXT(月次KPI!L21,"#,##0")</f>
        <v>累計損益 最新月：¥-122,074,000</v>
      </c>
    </row>
    <row r="7" customFormat="false" ht="37.5" hidden="false" customHeight="true" outlineLevel="0" collapsed="false">
      <c r="A7" s="24" t="s">
        <v>48</v>
      </c>
      <c r="B7" s="27" t="s">
        <v>49</v>
      </c>
      <c r="C7" s="26" t="str">
        <f aca="false">"4月ピーク→9月："&amp;TEXT(月次KPI!F16-月次KPI!F21,"#,##0")&amp;" 人 減"</f>
        <v>4月ピーク→9月：920 人 減</v>
      </c>
    </row>
    <row r="8" customFormat="false" ht="37.5" hidden="false" customHeight="true" outlineLevel="0" collapsed="false">
      <c r="A8" s="24" t="s">
        <v>50</v>
      </c>
      <c r="B8" s="25" t="s">
        <v>51</v>
      </c>
      <c r="C8" s="26" t="str">
        <f aca="false">"損益分岐の目安：有料会員 約13,000人（純ARPU¥700・月次コスト約¥9.1M前提）"</f>
        <v>損益分岐の目安：有料会員 約13,000人（純ARPU¥700・月次コスト約¥9.1M前提）</v>
      </c>
    </row>
    <row r="10" customFormat="false" ht="15" hidden="false" customHeight="false" outlineLevel="0" collapsed="false">
      <c r="B10" s="28"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2026-07-02T05:31:20Z</dcterms:created>
  <dc:creator>openpyxl</dc:creator>
  <dc:description/>
  <dc:language>en-US</dc:language>
  <cp:lastModifiedBy/>
  <dcterms:modified xsi:type="dcterms:W3CDTF">2026-07-02T05:31:22Z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